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rahstevenson/Desktop/diss/Coding_thesis/data/survey_data/"/>
    </mc:Choice>
  </mc:AlternateContent>
  <xr:revisionPtr revIDLastSave="0" documentId="13_ncr:1_{25C83D49-8CFC-6D41-8137-412593A319C4}" xr6:coauthVersionLast="47" xr6:coauthVersionMax="47" xr10:uidLastSave="{00000000-0000-0000-0000-000000000000}"/>
  <bookViews>
    <workbookView xWindow="0" yWindow="500" windowWidth="28800" windowHeight="16360" xr2:uid="{B35B6347-F961-43EC-A512-98709A72BFBE}"/>
  </bookViews>
  <sheets>
    <sheet name="South Arran Fauna 20230330 (6)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226" i="1" l="1"/>
  <c r="BV203" i="1"/>
  <c r="BV124" i="1"/>
  <c r="BV102" i="1"/>
  <c r="CK57" i="1"/>
  <c r="BV38" i="1"/>
</calcChain>
</file>

<file path=xl/sharedStrings.xml><?xml version="1.0" encoding="utf-8"?>
<sst xmlns="http://schemas.openxmlformats.org/spreadsheetml/2006/main" count="390" uniqueCount="318">
  <si>
    <t>Taxa</t>
  </si>
  <si>
    <t>T1_02</t>
  </si>
  <si>
    <t>T1_03</t>
  </si>
  <si>
    <t>T1_04</t>
  </si>
  <si>
    <t>T1_06</t>
  </si>
  <si>
    <t>T1_08</t>
  </si>
  <si>
    <t>T1_09</t>
  </si>
  <si>
    <t>T1_10</t>
  </si>
  <si>
    <t>T2_03</t>
  </si>
  <si>
    <t>T2_04</t>
  </si>
  <si>
    <t>T2_05</t>
  </si>
  <si>
    <t>T2_06</t>
  </si>
  <si>
    <t>T2_07</t>
  </si>
  <si>
    <t>T2_08</t>
  </si>
  <si>
    <t>T2_09</t>
  </si>
  <si>
    <t>T2_10</t>
  </si>
  <si>
    <t>T3_03</t>
  </si>
  <si>
    <t>T3_04</t>
  </si>
  <si>
    <t>T3_05</t>
  </si>
  <si>
    <t>T3_06</t>
  </si>
  <si>
    <t>T3_07</t>
  </si>
  <si>
    <t>T3_08</t>
  </si>
  <si>
    <t>T3_09</t>
  </si>
  <si>
    <t>T3_10</t>
  </si>
  <si>
    <t>T4_01</t>
  </si>
  <si>
    <t>T4_02</t>
  </si>
  <si>
    <t>T4_03</t>
  </si>
  <si>
    <t>T4_04</t>
  </si>
  <si>
    <t>T4_05</t>
  </si>
  <si>
    <t>T4_06</t>
  </si>
  <si>
    <t>T4_07</t>
  </si>
  <si>
    <t>T4_08</t>
  </si>
  <si>
    <t>T4_09</t>
  </si>
  <si>
    <t>T4_10</t>
  </si>
  <si>
    <t>D1_01</t>
  </si>
  <si>
    <t>D1_04</t>
  </si>
  <si>
    <t>D1_05</t>
  </si>
  <si>
    <t>D1_06</t>
  </si>
  <si>
    <t>D1_07</t>
  </si>
  <si>
    <t>D1_10</t>
  </si>
  <si>
    <t>D3_G01</t>
  </si>
  <si>
    <t>D3_G02</t>
  </si>
  <si>
    <t>D3_G03</t>
  </si>
  <si>
    <t>D3_G04</t>
  </si>
  <si>
    <t>D3_G05</t>
  </si>
  <si>
    <t>D3_G06</t>
  </si>
  <si>
    <t>D3_G07</t>
  </si>
  <si>
    <t>D3_G08</t>
  </si>
  <si>
    <t>D3_G10</t>
  </si>
  <si>
    <t>D4_02</t>
  </si>
  <si>
    <t>D4_03</t>
  </si>
  <si>
    <t>D4_04</t>
  </si>
  <si>
    <t>D4_05</t>
  </si>
  <si>
    <t>D4_06</t>
  </si>
  <si>
    <t>D4_07</t>
  </si>
  <si>
    <t>D4_08</t>
  </si>
  <si>
    <t>D4_09</t>
  </si>
  <si>
    <t>D4_10</t>
  </si>
  <si>
    <t>D5_01</t>
  </si>
  <si>
    <t>D5_02</t>
  </si>
  <si>
    <t>D5_03</t>
  </si>
  <si>
    <t>D5_04</t>
  </si>
  <si>
    <t>D5_05</t>
  </si>
  <si>
    <t>D5_06</t>
  </si>
  <si>
    <t>D5_07</t>
  </si>
  <si>
    <t>D5_08</t>
  </si>
  <si>
    <t>D5_09</t>
  </si>
  <si>
    <t>D5_10</t>
  </si>
  <si>
    <t>D6_01</t>
  </si>
  <si>
    <t>D6_02</t>
  </si>
  <si>
    <t>D6_06</t>
  </si>
  <si>
    <t>D6_07</t>
  </si>
  <si>
    <t>D6_08</t>
  </si>
  <si>
    <t>D6_09</t>
  </si>
  <si>
    <t>D6_10</t>
  </si>
  <si>
    <t>Abludomelita obtusata</t>
  </si>
  <si>
    <t>Abra alba</t>
  </si>
  <si>
    <t>Abra nitida</t>
  </si>
  <si>
    <t>Abra prismatica</t>
  </si>
  <si>
    <t>Abra spp.</t>
  </si>
  <si>
    <t>Alvania punctura</t>
  </si>
  <si>
    <t>Ampelisca (aequicornis)</t>
  </si>
  <si>
    <t>Ampelisca brevicornis</t>
  </si>
  <si>
    <t>Ampelisca diadema</t>
  </si>
  <si>
    <t>Ampelisca spinipes</t>
  </si>
  <si>
    <t>Ampelisca spp. (juvenile)</t>
  </si>
  <si>
    <t>p</t>
  </si>
  <si>
    <t>Ampelisca typica</t>
  </si>
  <si>
    <t>Ampharete lindstroemi agg.</t>
  </si>
  <si>
    <t>Ampharete spp.</t>
  </si>
  <si>
    <t>Ampharetidae spp. (juvenile)</t>
  </si>
  <si>
    <t>Amphilochus spencebatei</t>
  </si>
  <si>
    <t>Amphipholis squamata</t>
  </si>
  <si>
    <t>Amphipoda spp.</t>
  </si>
  <si>
    <t>Amphitrite cirrata</t>
  </si>
  <si>
    <t>Amphiura chiajei</t>
  </si>
  <si>
    <t>Amphiura filiformis</t>
  </si>
  <si>
    <t>Amphiuridae spp.</t>
  </si>
  <si>
    <t>Anapagurus chiroacanthus</t>
  </si>
  <si>
    <t>Anomia ephippium</t>
  </si>
  <si>
    <t>Anthozoa spp.</t>
  </si>
  <si>
    <t>Anthura gracilis</t>
  </si>
  <si>
    <t>Aonides oxycephala</t>
  </si>
  <si>
    <t>Aonides paucibranchiata</t>
  </si>
  <si>
    <t>Aphroditidoidea</t>
  </si>
  <si>
    <t>Aponuphis bilineata</t>
  </si>
  <si>
    <t>Arabella iricolor</t>
  </si>
  <si>
    <t>Arctica islandica</t>
  </si>
  <si>
    <t>Ascidiacea spp.</t>
  </si>
  <si>
    <t>Atylus vedlomensis</t>
  </si>
  <si>
    <t>Balanus</t>
  </si>
  <si>
    <t>Balanus balanus</t>
  </si>
  <si>
    <t>Balanus crenatus</t>
  </si>
  <si>
    <t>Brachystomia</t>
  </si>
  <si>
    <t>Bugulina flabellata</t>
  </si>
  <si>
    <t>Callipallene brevirostris</t>
  </si>
  <si>
    <t>Calocaris macandreae</t>
  </si>
  <si>
    <t>Capitellidae</t>
  </si>
  <si>
    <t>Celleporella hyalina</t>
  </si>
  <si>
    <t>Ceradocus semiserratus</t>
  </si>
  <si>
    <t>Ceramium</t>
  </si>
  <si>
    <t>Cerianthus lloydii</t>
  </si>
  <si>
    <t>Chaetozone gibber</t>
  </si>
  <si>
    <t>Chaetozone setosa</t>
  </si>
  <si>
    <t>Chaetozone spp.</t>
  </si>
  <si>
    <t>Chaetozone zetlandica</t>
  </si>
  <si>
    <t>Cheilostomatidoidea</t>
  </si>
  <si>
    <t>Cheirocratus spp. (female)</t>
  </si>
  <si>
    <t>Chlorophyta spp.</t>
  </si>
  <si>
    <t>Chrysallida indistincta</t>
  </si>
  <si>
    <t>Cirratulidae</t>
  </si>
  <si>
    <t>Cirratulus caudatus</t>
  </si>
  <si>
    <t>Clausinella fasciata</t>
  </si>
  <si>
    <t>Corbula gibba</t>
  </si>
  <si>
    <t>Corophium spp.</t>
  </si>
  <si>
    <t>Dasybranchus spp.</t>
  </si>
  <si>
    <t>Decapoda</t>
  </si>
  <si>
    <t>Diplocirrus</t>
  </si>
  <si>
    <t>Diplocirrus glaucus</t>
  </si>
  <si>
    <t>Dosinia exoleta</t>
  </si>
  <si>
    <t>Dosinia lupinus</t>
  </si>
  <si>
    <t>Dosinia spp. (juvenile)</t>
  </si>
  <si>
    <t>Echinocyamus pusillus</t>
  </si>
  <si>
    <t>Echinoidea spp. (juvenile)</t>
  </si>
  <si>
    <t>Edwardsiidae spp.</t>
  </si>
  <si>
    <t>Ennucula tenuis</t>
  </si>
  <si>
    <t>Escharella</t>
  </si>
  <si>
    <t>Eteone longa agg.</t>
  </si>
  <si>
    <t>Eteone picta</t>
  </si>
  <si>
    <t>Euchone spp.</t>
  </si>
  <si>
    <t>Euclymene oerstedi</t>
  </si>
  <si>
    <t>Eulalia viridis</t>
  </si>
  <si>
    <t>Eulima bilineata</t>
  </si>
  <si>
    <t>Eumida bahusiensis</t>
  </si>
  <si>
    <t>Eunicidae</t>
  </si>
  <si>
    <t>Eurynome spp.</t>
  </si>
  <si>
    <t>Euspira nitida</t>
  </si>
  <si>
    <t>Fenestrulina malusii</t>
  </si>
  <si>
    <t>Flabelligeridae</t>
  </si>
  <si>
    <t>Galathea intermedia</t>
  </si>
  <si>
    <t>Galathowenia oculata</t>
  </si>
  <si>
    <t>Gari fervensis</t>
  </si>
  <si>
    <t>Gattyana cirrhosa</t>
  </si>
  <si>
    <t>Glycera alba</t>
  </si>
  <si>
    <t>Glycera lapidum agg.</t>
  </si>
  <si>
    <t>Glycera unicornis</t>
  </si>
  <si>
    <t>Goniada maculata</t>
  </si>
  <si>
    <t>Goniadidae</t>
  </si>
  <si>
    <t>Goniadidae/Hesionidae</t>
  </si>
  <si>
    <t>Harmothoe extenuata/fragilis</t>
  </si>
  <si>
    <t>Harmothoe spp. (juvenile)</t>
  </si>
  <si>
    <t>Harpinia antennaria</t>
  </si>
  <si>
    <t>Hiatella arctica</t>
  </si>
  <si>
    <t>Hydroides norvegica</t>
  </si>
  <si>
    <t>Isaeidae</t>
  </si>
  <si>
    <t>Kellia suborbicularis</t>
  </si>
  <si>
    <t>Kurtiella bidentata</t>
  </si>
  <si>
    <t>Lagis koreni</t>
  </si>
  <si>
    <t>Lanice conchilega (juvenile)</t>
  </si>
  <si>
    <t>Laonice</t>
  </si>
  <si>
    <t>Laonice bahusiensis</t>
  </si>
  <si>
    <t>Lepidonotus squamatus</t>
  </si>
  <si>
    <t>Leptocheirus pectinatus</t>
  </si>
  <si>
    <t>Leptochiton</t>
  </si>
  <si>
    <t>Leptochiton asellus</t>
  </si>
  <si>
    <t>Leptochiton cancellatus</t>
  </si>
  <si>
    <t>Limaria hians</t>
  </si>
  <si>
    <t>Lumbrineridae spp. (juvenile)</t>
  </si>
  <si>
    <t>Lumbrineris agg.</t>
  </si>
  <si>
    <t>Lysianassa plumosa</t>
  </si>
  <si>
    <t>Lysidice unicornis</t>
  </si>
  <si>
    <t>Magelona minuta</t>
  </si>
  <si>
    <t>Maldane sarsi</t>
  </si>
  <si>
    <t>Maldanidae spp.</t>
  </si>
  <si>
    <t>Malmgrenia mcintoshi</t>
  </si>
  <si>
    <t>Malmgrenia spp.</t>
  </si>
  <si>
    <t>Mediomastus fragilis</t>
  </si>
  <si>
    <t>Modiolus modiolus (juvenile)</t>
  </si>
  <si>
    <t>Moerella donacina</t>
  </si>
  <si>
    <t>Moerella pygmaea</t>
  </si>
  <si>
    <t>Moerella spp.</t>
  </si>
  <si>
    <t>Monticellina</t>
  </si>
  <si>
    <t>Mysia undata</t>
  </si>
  <si>
    <t>Nebalia bipes</t>
  </si>
  <si>
    <t>Nematoda spp.</t>
  </si>
  <si>
    <t>Nemertea spp.</t>
  </si>
  <si>
    <t>Nephtys hombergii</t>
  </si>
  <si>
    <t>Nephtys incisa</t>
  </si>
  <si>
    <t>Nephtys kersivalensis</t>
  </si>
  <si>
    <t>Nephtys spp. (juvenile)</t>
  </si>
  <si>
    <t>Nereimyra punctata</t>
  </si>
  <si>
    <t>Nereiphylla rubiginosa</t>
  </si>
  <si>
    <t>Notomastus spp.</t>
  </si>
  <si>
    <t>Notophyllum foliosum</t>
  </si>
  <si>
    <t>Nucula hanleyi</t>
  </si>
  <si>
    <t>Nucula nitidosa</t>
  </si>
  <si>
    <t>Nucula nucleus</t>
  </si>
  <si>
    <t>Ophelina acuminata</t>
  </si>
  <si>
    <t>Ophiocomina nigra</t>
  </si>
  <si>
    <t>Ophiodromus flexuosis</t>
  </si>
  <si>
    <t>Ophiothrix fragilis</t>
  </si>
  <si>
    <t>Ophiothrix spp. (juvenile)</t>
  </si>
  <si>
    <t>Ophiura albida</t>
  </si>
  <si>
    <t>Ophiura spp. (juvenile)</t>
  </si>
  <si>
    <t>Ophiuroidea spp.</t>
  </si>
  <si>
    <t>Opistobranchus tulbergi</t>
  </si>
  <si>
    <t>Orbinia</t>
  </si>
  <si>
    <t>Orbinidae</t>
  </si>
  <si>
    <t>Owenia fusiformis</t>
  </si>
  <si>
    <t>Oweniidae</t>
  </si>
  <si>
    <t>Paguridae spp. (juvenile)</t>
  </si>
  <si>
    <t>Parvicardium minimum</t>
  </si>
  <si>
    <t>Parvicardium pinnulatum</t>
  </si>
  <si>
    <t>Pectinaria auricoma</t>
  </si>
  <si>
    <t>Phaxas pellucidus</t>
  </si>
  <si>
    <t>Pholoe baltica</t>
  </si>
  <si>
    <t>Pholoe inornata</t>
  </si>
  <si>
    <t>Pholoe spp. (juvenile)</t>
  </si>
  <si>
    <t>Phoronis spp.</t>
  </si>
  <si>
    <t>Photis longicaudata</t>
  </si>
  <si>
    <t>Phtisica marina</t>
  </si>
  <si>
    <t>Phyllodoce maculata</t>
  </si>
  <si>
    <t>Phyllodoce mucosa</t>
  </si>
  <si>
    <t>Phyllodocidae spp.</t>
  </si>
  <si>
    <t>Pisidia longicornis</t>
  </si>
  <si>
    <t>Pista cristata</t>
  </si>
  <si>
    <t>Platyhelminthes spp.</t>
  </si>
  <si>
    <t>Podarkeopsis capensis</t>
  </si>
  <si>
    <t>Poecilochaetus serpens</t>
  </si>
  <si>
    <t>Polychaeta</t>
  </si>
  <si>
    <t>Polycirrus spp.</t>
  </si>
  <si>
    <t>Polydora ciliata</t>
  </si>
  <si>
    <t>Polynoidae sp.</t>
  </si>
  <si>
    <t>Polynoinae</t>
  </si>
  <si>
    <t>Polyphysia crassa</t>
  </si>
  <si>
    <t>Praxillella affinis</t>
  </si>
  <si>
    <t>Prionospio cirrifera</t>
  </si>
  <si>
    <t>Prionospio multibranchiata</t>
  </si>
  <si>
    <t>Prionospio spp.</t>
  </si>
  <si>
    <t>Raphitoma linearis</t>
  </si>
  <si>
    <t>Rhodophyta spp.</t>
  </si>
  <si>
    <t>Sabellidae spp. (juvenile)</t>
  </si>
  <si>
    <t>Scalibregma inflatum</t>
  </si>
  <si>
    <t>Schistomeringus</t>
  </si>
  <si>
    <t>Schistomeringus neglecta</t>
  </si>
  <si>
    <t xml:space="preserve">Schizomavella </t>
  </si>
  <si>
    <t>Scolelepis spp.</t>
  </si>
  <si>
    <t>Scoletoma fragilis</t>
  </si>
  <si>
    <t>Scoloplos armiger</t>
  </si>
  <si>
    <t>Scrupocellaria scruposa</t>
  </si>
  <si>
    <t>Spio filicornis</t>
  </si>
  <si>
    <t>Spio spp.</t>
  </si>
  <si>
    <t>Spionidae</t>
  </si>
  <si>
    <t>Spiophanes bombyx</t>
  </si>
  <si>
    <t>Spiophanes kroyeri</t>
  </si>
  <si>
    <t>Spirobranchus spp.</t>
  </si>
  <si>
    <t>Spirobranchus triqueter</t>
  </si>
  <si>
    <t>Sthenelais</t>
  </si>
  <si>
    <t>Sycon ciliatum</t>
  </si>
  <si>
    <t>Syllidae</t>
  </si>
  <si>
    <t>Syllis armillaris</t>
  </si>
  <si>
    <t>Syllis spp.</t>
  </si>
  <si>
    <t>Tanaidacea spp.</t>
  </si>
  <si>
    <t>Tapes spp. (juvenile)</t>
  </si>
  <si>
    <t>Terebellidae spp.</t>
  </si>
  <si>
    <t>Terebellides stroemii</t>
  </si>
  <si>
    <t>Tharyx spp.</t>
  </si>
  <si>
    <t>Thracia phaseolina</t>
  </si>
  <si>
    <t>Thracia spp. (juvenile)</t>
  </si>
  <si>
    <t>Thyasira flexuosa</t>
  </si>
  <si>
    <t>Thyasira spp.</t>
  </si>
  <si>
    <t>Timoclea ovata</t>
  </si>
  <si>
    <t>Trichobranchus</t>
  </si>
  <si>
    <t>Tubulipora spp.</t>
  </si>
  <si>
    <t>Turritella communis</t>
  </si>
  <si>
    <t>Urothoe elegans</t>
  </si>
  <si>
    <t>Urothoe marina</t>
  </si>
  <si>
    <t>Vaunthompsonia cristata</t>
  </si>
  <si>
    <t>Venus casina</t>
  </si>
  <si>
    <t>Verruca stroemia</t>
  </si>
  <si>
    <t>T2_01</t>
  </si>
  <si>
    <t>T2_02</t>
  </si>
  <si>
    <t>T3_01</t>
  </si>
  <si>
    <t>T3_02</t>
  </si>
  <si>
    <t>Chaetozone christiei</t>
  </si>
  <si>
    <t>P</t>
  </si>
  <si>
    <t>D1_02-1</t>
  </si>
  <si>
    <t>D1_02-2</t>
  </si>
  <si>
    <t>D1_03-1</t>
  </si>
  <si>
    <t>D1_03-2</t>
  </si>
  <si>
    <t>D3_G09-1</t>
  </si>
  <si>
    <t>D6_03-1</t>
  </si>
  <si>
    <t>D6_03-2</t>
  </si>
  <si>
    <t>D6_04-1</t>
  </si>
  <si>
    <t>D6_04-2</t>
  </si>
  <si>
    <t>D6_05-1</t>
  </si>
  <si>
    <t>D6_05-2</t>
  </si>
  <si>
    <t>D3_G09-2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</si>
</sst>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760F0-92DE-43C4-8966-98AB91083C40}">
  <dimension ref="A1:CM226"/>
  <sheetViews>
    <sheetView tabSelected="1" topLeftCell="AY1" workbookViewId="0">
      <selection activeCell="BF2" sqref="BF2"/>
    </sheetView>
  </sheetViews>
  <sheetFormatPr baseColWidth="10" defaultColWidth="9.1640625" defaultRowHeight="11" x14ac:dyDescent="0.2"/>
  <cols>
    <col min="1" max="1" width="21.5" style="4" bestFit="1" customWidth="1"/>
    <col min="2" max="8" width="5" style="4" bestFit="1" customWidth="1"/>
    <col min="9" max="10" width="6" style="4" bestFit="1" customWidth="1"/>
    <col min="11" max="18" width="5" style="4" bestFit="1" customWidth="1"/>
    <col min="19" max="20" width="6.6640625" style="4" bestFit="1" customWidth="1"/>
    <col min="21" max="38" width="5" style="4" bestFit="1" customWidth="1"/>
    <col min="39" max="39" width="5.33203125" style="4" bestFit="1" customWidth="1"/>
    <col min="40" max="43" width="11.33203125" style="4" bestFit="1" customWidth="1"/>
    <col min="44" max="48" width="5.33203125" style="4" bestFit="1" customWidth="1"/>
    <col min="49" max="56" width="6.33203125" style="4" bestFit="1" customWidth="1"/>
    <col min="57" max="58" width="12.33203125" style="4" bestFit="1" customWidth="1"/>
    <col min="59" max="59" width="6.33203125" style="4" bestFit="1" customWidth="1"/>
    <col min="60" max="80" width="5.33203125" style="4" bestFit="1" customWidth="1"/>
    <col min="81" max="86" width="11.33203125" style="4" bestFit="1" customWidth="1"/>
    <col min="87" max="91" width="5.33203125" style="4" bestFit="1" customWidth="1"/>
    <col min="92" max="16384" width="9.1640625" style="4"/>
  </cols>
  <sheetData>
    <row r="1" spans="1:91" s="2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300</v>
      </c>
      <c r="J1" s="1" t="s">
        <v>301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302</v>
      </c>
      <c r="T1" s="1" t="s">
        <v>303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  <c r="AM1" s="1" t="s">
        <v>34</v>
      </c>
      <c r="AN1" s="5" t="s">
        <v>306</v>
      </c>
      <c r="AO1" s="5" t="s">
        <v>307</v>
      </c>
      <c r="AP1" s="5" t="s">
        <v>308</v>
      </c>
      <c r="AQ1" s="5" t="s">
        <v>309</v>
      </c>
      <c r="AR1" s="1" t="s">
        <v>35</v>
      </c>
      <c r="AS1" s="1" t="s">
        <v>36</v>
      </c>
      <c r="AT1" s="1" t="s">
        <v>37</v>
      </c>
      <c r="AU1" s="1" t="s">
        <v>38</v>
      </c>
      <c r="AV1" s="1" t="s">
        <v>39</v>
      </c>
      <c r="AW1" s="1" t="s">
        <v>40</v>
      </c>
      <c r="AX1" s="1" t="s">
        <v>41</v>
      </c>
      <c r="AY1" s="1" t="s">
        <v>42</v>
      </c>
      <c r="AZ1" s="1" t="s">
        <v>43</v>
      </c>
      <c r="BA1" s="1" t="s">
        <v>44</v>
      </c>
      <c r="BB1" s="1" t="s">
        <v>45</v>
      </c>
      <c r="BC1" s="1" t="s">
        <v>46</v>
      </c>
      <c r="BD1" s="1" t="s">
        <v>47</v>
      </c>
      <c r="BE1" s="1" t="s">
        <v>310</v>
      </c>
      <c r="BF1" s="1" t="s">
        <v>317</v>
      </c>
      <c r="BG1" s="1" t="s">
        <v>48</v>
      </c>
      <c r="BH1" s="1" t="s">
        <v>49</v>
      </c>
      <c r="BI1" s="1" t="s">
        <v>50</v>
      </c>
      <c r="BJ1" s="1" t="s">
        <v>51</v>
      </c>
      <c r="BK1" s="1" t="s">
        <v>52</v>
      </c>
      <c r="BL1" s="1" t="s">
        <v>53</v>
      </c>
      <c r="BM1" s="1" t="s">
        <v>54</v>
      </c>
      <c r="BN1" s="1" t="s">
        <v>55</v>
      </c>
      <c r="BO1" s="1" t="s">
        <v>56</v>
      </c>
      <c r="BP1" s="1" t="s">
        <v>57</v>
      </c>
      <c r="BQ1" s="1" t="s">
        <v>58</v>
      </c>
      <c r="BR1" s="1" t="s">
        <v>59</v>
      </c>
      <c r="BS1" s="1" t="s">
        <v>60</v>
      </c>
      <c r="BT1" s="1" t="s">
        <v>61</v>
      </c>
      <c r="BU1" s="1" t="s">
        <v>62</v>
      </c>
      <c r="BV1" s="1" t="s">
        <v>63</v>
      </c>
      <c r="BW1" s="1" t="s">
        <v>64</v>
      </c>
      <c r="BX1" s="1" t="s">
        <v>65</v>
      </c>
      <c r="BY1" s="1" t="s">
        <v>66</v>
      </c>
      <c r="BZ1" s="1" t="s">
        <v>67</v>
      </c>
      <c r="CA1" s="1" t="s">
        <v>68</v>
      </c>
      <c r="CB1" s="1" t="s">
        <v>69</v>
      </c>
      <c r="CC1" s="1" t="s">
        <v>311</v>
      </c>
      <c r="CD1" s="1" t="s">
        <v>312</v>
      </c>
      <c r="CE1" s="1" t="s">
        <v>313</v>
      </c>
      <c r="CF1" s="1" t="s">
        <v>314</v>
      </c>
      <c r="CG1" s="1" t="s">
        <v>315</v>
      </c>
      <c r="CH1" s="1" t="s">
        <v>316</v>
      </c>
      <c r="CI1" s="1" t="s">
        <v>70</v>
      </c>
      <c r="CJ1" s="1" t="s">
        <v>71</v>
      </c>
      <c r="CK1" s="1" t="s">
        <v>72</v>
      </c>
      <c r="CL1" s="1" t="s">
        <v>73</v>
      </c>
      <c r="CM1" s="1" t="s">
        <v>74</v>
      </c>
    </row>
    <row r="2" spans="1:91" x14ac:dyDescent="0.2">
      <c r="A2" s="3" t="s">
        <v>75</v>
      </c>
      <c r="B2" s="3"/>
      <c r="C2" s="3"/>
      <c r="D2" s="3"/>
      <c r="E2" s="3"/>
      <c r="F2" s="3"/>
      <c r="G2" s="3"/>
      <c r="H2" s="3"/>
      <c r="I2" s="3"/>
      <c r="J2" s="3">
        <v>2</v>
      </c>
      <c r="K2" s="3"/>
      <c r="L2" s="3"/>
      <c r="M2" s="3"/>
      <c r="N2" s="3"/>
      <c r="O2" s="3"/>
      <c r="P2" s="3"/>
      <c r="Q2" s="3"/>
      <c r="R2" s="3"/>
      <c r="S2" s="3">
        <v>2</v>
      </c>
      <c r="T2" s="3"/>
      <c r="U2" s="3">
        <v>1</v>
      </c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</row>
    <row r="3" spans="1:91" x14ac:dyDescent="0.2">
      <c r="A3" s="3" t="s">
        <v>76</v>
      </c>
      <c r="B3" s="3"/>
      <c r="C3" s="3">
        <v>8</v>
      </c>
      <c r="D3" s="3"/>
      <c r="E3" s="3"/>
      <c r="F3" s="3"/>
      <c r="G3" s="3"/>
      <c r="H3" s="3"/>
      <c r="I3" s="3"/>
      <c r="J3" s="3">
        <v>4</v>
      </c>
      <c r="K3" s="3"/>
      <c r="L3" s="3"/>
      <c r="M3" s="3"/>
      <c r="N3" s="3"/>
      <c r="O3" s="3"/>
      <c r="P3" s="3"/>
      <c r="Q3" s="3"/>
      <c r="R3" s="3"/>
      <c r="S3" s="3">
        <v>63</v>
      </c>
      <c r="T3" s="3"/>
      <c r="V3" s="3"/>
      <c r="W3" s="3"/>
      <c r="X3" s="3">
        <v>12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>
        <v>1</v>
      </c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</row>
    <row r="4" spans="1:91" x14ac:dyDescent="0.2">
      <c r="A4" s="3" t="s">
        <v>77</v>
      </c>
      <c r="B4" s="3">
        <v>7</v>
      </c>
      <c r="C4" s="3">
        <v>2</v>
      </c>
      <c r="D4" s="3"/>
      <c r="E4" s="3"/>
      <c r="F4" s="3"/>
      <c r="G4" s="3"/>
      <c r="H4" s="3">
        <v>1</v>
      </c>
      <c r="I4" s="3"/>
      <c r="J4" s="3"/>
      <c r="K4" s="3"/>
      <c r="L4" s="3"/>
      <c r="M4" s="3"/>
      <c r="N4" s="3"/>
      <c r="O4" s="3"/>
      <c r="P4" s="3">
        <v>8</v>
      </c>
      <c r="Q4" s="3"/>
      <c r="R4" s="3"/>
      <c r="S4" s="3">
        <v>28</v>
      </c>
      <c r="T4" s="3"/>
      <c r="U4" s="3">
        <v>12</v>
      </c>
      <c r="V4" s="3">
        <v>4</v>
      </c>
      <c r="W4" s="3"/>
      <c r="X4" s="3">
        <v>4</v>
      </c>
      <c r="Y4" s="3">
        <v>1</v>
      </c>
      <c r="Z4" s="3"/>
      <c r="AA4" s="3"/>
      <c r="AB4" s="3"/>
      <c r="AC4" s="3"/>
      <c r="AD4" s="3">
        <v>1</v>
      </c>
      <c r="AE4" s="3"/>
      <c r="AF4" s="3"/>
      <c r="AG4" s="3">
        <v>2</v>
      </c>
      <c r="AH4" s="3"/>
      <c r="AI4" s="3">
        <v>4</v>
      </c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</row>
    <row r="5" spans="1:91" x14ac:dyDescent="0.2">
      <c r="A5" s="3" t="s">
        <v>78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>
        <v>4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</row>
    <row r="6" spans="1:91" x14ac:dyDescent="0.2">
      <c r="A6" s="3" t="s">
        <v>79</v>
      </c>
      <c r="B6" s="3"/>
      <c r="C6" s="3"/>
      <c r="D6" s="3"/>
      <c r="E6" s="3">
        <v>1</v>
      </c>
      <c r="F6" s="3"/>
      <c r="G6" s="3"/>
      <c r="H6" s="3"/>
      <c r="I6" s="3"/>
      <c r="J6" s="3">
        <v>3</v>
      </c>
      <c r="K6" s="3"/>
      <c r="L6" s="3"/>
      <c r="M6" s="3"/>
      <c r="N6" s="3">
        <v>3</v>
      </c>
      <c r="O6" s="3">
        <v>5</v>
      </c>
      <c r="P6" s="3"/>
      <c r="Q6" s="3">
        <v>2</v>
      </c>
      <c r="R6" s="3">
        <v>2</v>
      </c>
      <c r="S6" s="3"/>
      <c r="T6" s="3"/>
      <c r="U6" s="3">
        <v>26</v>
      </c>
      <c r="V6" s="3"/>
      <c r="W6" s="3"/>
      <c r="X6" s="3"/>
      <c r="Y6" s="3">
        <v>37</v>
      </c>
      <c r="Z6" s="3"/>
      <c r="AA6" s="3"/>
      <c r="AB6" s="3"/>
      <c r="AC6" s="3"/>
      <c r="AD6" s="3">
        <v>10</v>
      </c>
      <c r="AE6" s="3"/>
      <c r="AF6" s="3">
        <v>2</v>
      </c>
      <c r="AG6" s="3">
        <v>2</v>
      </c>
      <c r="AH6" s="3"/>
      <c r="AI6" s="3">
        <v>4</v>
      </c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</row>
    <row r="7" spans="1:91" x14ac:dyDescent="0.2">
      <c r="A7" s="3" t="s">
        <v>80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>
        <v>1</v>
      </c>
      <c r="BS7" s="3"/>
      <c r="BT7" s="3"/>
      <c r="BU7" s="3"/>
      <c r="BV7" s="3">
        <v>1</v>
      </c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</row>
    <row r="8" spans="1:91" x14ac:dyDescent="0.2">
      <c r="A8" s="3" t="s">
        <v>81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>
        <v>1</v>
      </c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</row>
    <row r="9" spans="1:91" x14ac:dyDescent="0.2">
      <c r="A9" s="3" t="s">
        <v>82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>
        <v>1</v>
      </c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>
        <v>1</v>
      </c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</row>
    <row r="10" spans="1:91" x14ac:dyDescent="0.2">
      <c r="A10" s="3" t="s">
        <v>83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>
        <v>1</v>
      </c>
      <c r="BK10" s="3"/>
      <c r="BL10" s="3"/>
      <c r="BM10" s="3"/>
      <c r="BN10" s="3"/>
      <c r="BO10" s="3"/>
      <c r="BP10" s="3">
        <v>3</v>
      </c>
      <c r="BQ10" s="3"/>
      <c r="BR10" s="3">
        <v>1</v>
      </c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>
        <v>1</v>
      </c>
      <c r="CL10" s="3"/>
      <c r="CM10" s="3"/>
    </row>
    <row r="11" spans="1:91" x14ac:dyDescent="0.2">
      <c r="A11" s="3" t="s">
        <v>84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>
        <v>1</v>
      </c>
      <c r="CL11" s="3"/>
      <c r="CM11" s="3"/>
    </row>
    <row r="12" spans="1:91" x14ac:dyDescent="0.2">
      <c r="A12" s="3" t="s">
        <v>85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 t="s">
        <v>305</v>
      </c>
      <c r="CL12" s="3"/>
      <c r="CM12" s="3"/>
    </row>
    <row r="13" spans="1:91" x14ac:dyDescent="0.2">
      <c r="A13" s="3" t="s">
        <v>87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>
        <v>1</v>
      </c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</row>
    <row r="14" spans="1:91" x14ac:dyDescent="0.2">
      <c r="A14" s="3" t="s">
        <v>88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>
        <v>1</v>
      </c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>
        <v>4</v>
      </c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>
        <v>2</v>
      </c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>
        <v>2</v>
      </c>
      <c r="CL14" s="3"/>
      <c r="CM14" s="3"/>
    </row>
    <row r="15" spans="1:91" x14ac:dyDescent="0.2">
      <c r="A15" s="3" t="s">
        <v>89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1</v>
      </c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</row>
    <row r="16" spans="1:91" x14ac:dyDescent="0.2">
      <c r="A16" s="3" t="s">
        <v>90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>
        <v>1</v>
      </c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</row>
    <row r="17" spans="1:91" x14ac:dyDescent="0.2">
      <c r="A17" s="3" t="s">
        <v>91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>
        <v>1</v>
      </c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</row>
    <row r="18" spans="1:91" x14ac:dyDescent="0.2">
      <c r="A18" s="3" t="s">
        <v>92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>
        <v>3</v>
      </c>
      <c r="BN18" s="3"/>
      <c r="BO18" s="3"/>
      <c r="BP18" s="3"/>
      <c r="BQ18" s="3"/>
      <c r="BR18" s="3">
        <v>2</v>
      </c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>
        <v>7</v>
      </c>
      <c r="CL18" s="3"/>
      <c r="CM18" s="3"/>
    </row>
    <row r="19" spans="1:91" x14ac:dyDescent="0.2">
      <c r="A19" s="3" t="s">
        <v>93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 t="s">
        <v>305</v>
      </c>
      <c r="CL19" s="3"/>
      <c r="CM19" s="3"/>
    </row>
    <row r="20" spans="1:91" x14ac:dyDescent="0.2">
      <c r="A20" s="3" t="s">
        <v>94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>
        <v>2</v>
      </c>
      <c r="BQ20" s="3"/>
      <c r="BR20" s="3">
        <v>1</v>
      </c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</row>
    <row r="21" spans="1:91" x14ac:dyDescent="0.2">
      <c r="A21" s="3" t="s">
        <v>95</v>
      </c>
      <c r="B21" s="3"/>
      <c r="C21" s="3"/>
      <c r="D21" s="3"/>
      <c r="E21" s="3">
        <v>1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</row>
    <row r="22" spans="1:91" x14ac:dyDescent="0.2">
      <c r="A22" s="3" t="s">
        <v>96</v>
      </c>
      <c r="B22" s="3"/>
      <c r="C22" s="3"/>
      <c r="D22" s="3"/>
      <c r="E22" s="3"/>
      <c r="F22" s="3"/>
      <c r="G22" s="3"/>
      <c r="H22" s="3"/>
      <c r="I22" s="3"/>
      <c r="J22" s="3" t="s">
        <v>305</v>
      </c>
      <c r="K22" s="3"/>
      <c r="L22" s="3"/>
      <c r="M22" s="3"/>
      <c r="N22" s="3"/>
      <c r="O22" s="3"/>
      <c r="P22" s="3"/>
      <c r="Q22" s="3">
        <v>1</v>
      </c>
      <c r="R22" s="3"/>
      <c r="S22" s="3" t="s">
        <v>305</v>
      </c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>
        <v>1</v>
      </c>
      <c r="BK22" s="3"/>
      <c r="BL22" s="3"/>
      <c r="BM22" s="3">
        <v>2</v>
      </c>
      <c r="BN22" s="3"/>
      <c r="BO22" s="3"/>
      <c r="BP22" s="3"/>
      <c r="BQ22" s="3"/>
      <c r="BR22" s="3"/>
      <c r="BS22" s="3"/>
      <c r="BT22" s="3"/>
      <c r="BU22" s="3"/>
      <c r="BV22" s="3">
        <v>1</v>
      </c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 t="s">
        <v>305</v>
      </c>
      <c r="CL22" s="3"/>
      <c r="CM22" s="3"/>
    </row>
    <row r="23" spans="1:91" x14ac:dyDescent="0.2">
      <c r="A23" s="3" t="s">
        <v>97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 t="s">
        <v>305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 t="s">
        <v>305</v>
      </c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</row>
    <row r="24" spans="1:91" x14ac:dyDescent="0.2">
      <c r="A24" s="3" t="s">
        <v>98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>
        <v>1</v>
      </c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</row>
    <row r="25" spans="1:91" x14ac:dyDescent="0.2">
      <c r="A25" s="3" t="s">
        <v>99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>
        <v>18</v>
      </c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</row>
    <row r="26" spans="1:91" x14ac:dyDescent="0.2">
      <c r="A26" s="3" t="s">
        <v>100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>
        <v>1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>
        <v>1</v>
      </c>
      <c r="CL26" s="3"/>
      <c r="CM26" s="3"/>
    </row>
    <row r="27" spans="1:91" x14ac:dyDescent="0.2">
      <c r="A27" s="3" t="s">
        <v>101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>
        <v>1</v>
      </c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</row>
    <row r="28" spans="1:91" x14ac:dyDescent="0.2">
      <c r="A28" s="3" t="s">
        <v>102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>
        <v>1</v>
      </c>
      <c r="BN28" s="3"/>
      <c r="BO28" s="3"/>
      <c r="BP28" s="3"/>
      <c r="BQ28" s="3"/>
      <c r="BR28" s="3">
        <v>3</v>
      </c>
      <c r="BS28" s="3"/>
      <c r="BT28" s="3"/>
      <c r="BU28" s="3"/>
      <c r="BV28" s="3">
        <v>1</v>
      </c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</row>
    <row r="29" spans="1:91" x14ac:dyDescent="0.2">
      <c r="A29" s="3" t="s">
        <v>103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>
        <v>1</v>
      </c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>
        <v>1</v>
      </c>
      <c r="CL29" s="3"/>
      <c r="CM29" s="3"/>
    </row>
    <row r="30" spans="1:91" x14ac:dyDescent="0.2">
      <c r="A30" s="3" t="s">
        <v>104</v>
      </c>
      <c r="B30" s="3"/>
      <c r="C30" s="3"/>
      <c r="D30" s="3"/>
      <c r="E30" s="3"/>
      <c r="F30" s="3"/>
      <c r="G30" s="3"/>
      <c r="H30" s="3"/>
      <c r="I30" s="3"/>
      <c r="J30" s="3">
        <v>1</v>
      </c>
      <c r="K30" s="3"/>
      <c r="L30" s="3"/>
      <c r="M30" s="3"/>
      <c r="N30" s="3"/>
      <c r="O30" s="3">
        <v>1</v>
      </c>
      <c r="P30" s="3"/>
      <c r="Q30" s="3"/>
      <c r="R30" s="3"/>
      <c r="S30" s="3"/>
      <c r="T30" s="3"/>
      <c r="U30" s="3">
        <v>1</v>
      </c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 t="s">
        <v>305</v>
      </c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</row>
    <row r="31" spans="1:91" x14ac:dyDescent="0.2">
      <c r="A31" s="3" t="s">
        <v>105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>
        <v>5</v>
      </c>
      <c r="BK31" s="3"/>
      <c r="BL31" s="3"/>
      <c r="BM31" s="3">
        <v>4</v>
      </c>
      <c r="BN31" s="3"/>
      <c r="BO31" s="3"/>
      <c r="BP31" s="3">
        <v>5</v>
      </c>
      <c r="BQ31" s="3"/>
      <c r="BR31" s="3">
        <v>8</v>
      </c>
      <c r="BS31" s="3"/>
      <c r="BT31" s="3"/>
      <c r="BU31" s="3"/>
      <c r="BV31" s="3">
        <v>13</v>
      </c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>
        <v>2</v>
      </c>
      <c r="CL31" s="3"/>
      <c r="CM31" s="3"/>
    </row>
    <row r="32" spans="1:91" x14ac:dyDescent="0.2">
      <c r="A32" s="3" t="s">
        <v>106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>
        <v>1</v>
      </c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</row>
    <row r="33" spans="1:91" x14ac:dyDescent="0.2">
      <c r="A33" s="3" t="s">
        <v>107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>
        <v>1</v>
      </c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</row>
    <row r="34" spans="1:91" x14ac:dyDescent="0.2">
      <c r="A34" s="3" t="s">
        <v>108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 t="s">
        <v>305</v>
      </c>
      <c r="BK34" s="3"/>
      <c r="BL34" s="3"/>
      <c r="BM34" s="3">
        <v>1</v>
      </c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</row>
    <row r="35" spans="1:91" x14ac:dyDescent="0.2">
      <c r="A35" s="3" t="s">
        <v>109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>
        <v>1</v>
      </c>
      <c r="CL35" s="3"/>
      <c r="CM35" s="3"/>
    </row>
    <row r="36" spans="1:91" x14ac:dyDescent="0.2">
      <c r="A36" s="3" t="s">
        <v>110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>
        <v>3</v>
      </c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</row>
    <row r="37" spans="1:91" x14ac:dyDescent="0.2">
      <c r="A37" s="3" t="s">
        <v>111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>
        <v>1</v>
      </c>
      <c r="BK37" s="3"/>
      <c r="BL37" s="3"/>
      <c r="BM37" s="3"/>
      <c r="BN37" s="3"/>
      <c r="BO37" s="3"/>
      <c r="BP37" s="3">
        <v>11</v>
      </c>
      <c r="BQ37" s="3"/>
      <c r="BR37" s="3"/>
      <c r="BS37" s="3"/>
      <c r="BT37" s="3"/>
      <c r="BU37" s="3"/>
      <c r="BV37" s="3">
        <v>19</v>
      </c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</row>
    <row r="38" spans="1:91" x14ac:dyDescent="0.2">
      <c r="A38" s="3" t="s">
        <v>112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>
        <v>5</v>
      </c>
      <c r="BN38" s="3"/>
      <c r="BO38" s="3"/>
      <c r="BP38" s="3">
        <v>28</v>
      </c>
      <c r="BQ38" s="3"/>
      <c r="BR38" s="3"/>
      <c r="BS38" s="3"/>
      <c r="BT38" s="3"/>
      <c r="BU38" s="3"/>
      <c r="BV38" s="3">
        <f>4+412</f>
        <v>416</v>
      </c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</row>
    <row r="39" spans="1:91" x14ac:dyDescent="0.2">
      <c r="A39" s="3" t="s">
        <v>113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>
        <v>1</v>
      </c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</row>
    <row r="40" spans="1:91" x14ac:dyDescent="0.2">
      <c r="A40" s="3" t="s">
        <v>114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 t="s">
        <v>305</v>
      </c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</row>
    <row r="41" spans="1:91" x14ac:dyDescent="0.2">
      <c r="A41" s="3" t="s">
        <v>115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>
        <v>3</v>
      </c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</row>
    <row r="42" spans="1:91" x14ac:dyDescent="0.2">
      <c r="A42" s="3" t="s">
        <v>116</v>
      </c>
      <c r="B42" s="3"/>
      <c r="C42" s="3">
        <v>1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>
        <v>1</v>
      </c>
      <c r="R42" s="3">
        <v>1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>
        <v>1</v>
      </c>
      <c r="AE42" s="3"/>
      <c r="AF42" s="3"/>
      <c r="AG42" s="3">
        <v>1</v>
      </c>
      <c r="AH42" s="3"/>
      <c r="AI42" s="3">
        <v>2</v>
      </c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</row>
    <row r="43" spans="1:91" x14ac:dyDescent="0.2">
      <c r="A43" s="3" t="s">
        <v>117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 t="s">
        <v>305</v>
      </c>
      <c r="Z43" s="3"/>
      <c r="AA43" s="3"/>
      <c r="AB43" s="3"/>
      <c r="AC43" s="3"/>
      <c r="AD43" s="3"/>
      <c r="AE43" s="3"/>
      <c r="AF43" s="3"/>
      <c r="AG43" s="3"/>
      <c r="AH43" s="3"/>
      <c r="AI43" s="3" t="s">
        <v>305</v>
      </c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>
        <v>1</v>
      </c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</row>
    <row r="44" spans="1:91" x14ac:dyDescent="0.2">
      <c r="A44" s="3" t="s">
        <v>118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 t="s">
        <v>305</v>
      </c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</row>
    <row r="45" spans="1:91" x14ac:dyDescent="0.2">
      <c r="A45" s="3" t="s">
        <v>119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>
        <v>1</v>
      </c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</row>
    <row r="46" spans="1:91" x14ac:dyDescent="0.2">
      <c r="A46" s="3" t="s">
        <v>120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 t="s">
        <v>305</v>
      </c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</row>
    <row r="47" spans="1:91" x14ac:dyDescent="0.2">
      <c r="A47" s="3" t="s">
        <v>121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>
        <v>1</v>
      </c>
      <c r="BK47" s="3"/>
      <c r="BL47" s="3"/>
      <c r="BM47" s="3"/>
      <c r="BN47" s="3"/>
      <c r="BO47" s="3"/>
      <c r="BP47" s="3"/>
      <c r="BQ47" s="3"/>
      <c r="BR47" s="3">
        <v>4</v>
      </c>
      <c r="BS47" s="3"/>
      <c r="BT47" s="3"/>
      <c r="BU47" s="3"/>
      <c r="BV47" s="3">
        <v>5</v>
      </c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>
        <v>4</v>
      </c>
      <c r="CL47" s="3"/>
      <c r="CM47" s="3"/>
    </row>
    <row r="48" spans="1:91" x14ac:dyDescent="0.2">
      <c r="A48" s="3" t="s">
        <v>304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>
        <v>1</v>
      </c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</row>
    <row r="49" spans="1:91" x14ac:dyDescent="0.2">
      <c r="A49" s="3" t="s">
        <v>122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>
        <v>1</v>
      </c>
      <c r="CL49" s="3"/>
      <c r="CM49" s="3"/>
    </row>
    <row r="50" spans="1:91" x14ac:dyDescent="0.2">
      <c r="A50" s="3" t="s">
        <v>123</v>
      </c>
      <c r="B50" s="3"/>
      <c r="C50" s="3"/>
      <c r="D50" s="3"/>
      <c r="E50" s="3"/>
      <c r="F50" s="3"/>
      <c r="G50" s="3"/>
      <c r="H50" s="3"/>
      <c r="I50" s="3"/>
      <c r="J50" s="3">
        <v>4</v>
      </c>
      <c r="K50" s="3"/>
      <c r="L50" s="3"/>
      <c r="M50" s="3"/>
      <c r="N50" s="3"/>
      <c r="O50" s="3"/>
      <c r="P50" s="3"/>
      <c r="Q50" s="3">
        <v>1</v>
      </c>
      <c r="R50" s="3"/>
      <c r="S50" s="3">
        <v>2</v>
      </c>
      <c r="T50" s="3"/>
      <c r="U50" s="3">
        <v>2</v>
      </c>
      <c r="V50" s="3"/>
      <c r="W50" s="3"/>
      <c r="X50" s="3">
        <v>1</v>
      </c>
      <c r="Y50" s="3">
        <v>3</v>
      </c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>
        <v>1</v>
      </c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>
        <v>5</v>
      </c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>
        <v>1</v>
      </c>
      <c r="CL50" s="3"/>
      <c r="CM50" s="3"/>
    </row>
    <row r="51" spans="1:91" x14ac:dyDescent="0.2">
      <c r="A51" s="3" t="s">
        <v>124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 t="s">
        <v>305</v>
      </c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>
        <v>3</v>
      </c>
      <c r="BK51" s="3"/>
      <c r="BL51" s="3"/>
      <c r="BM51" s="3">
        <v>1</v>
      </c>
      <c r="BN51" s="3"/>
      <c r="BO51" s="3"/>
      <c r="BP51" s="3"/>
      <c r="BQ51" s="3"/>
      <c r="BR51" s="3">
        <v>1</v>
      </c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</row>
    <row r="52" spans="1:91" x14ac:dyDescent="0.2">
      <c r="A52" s="3" t="s">
        <v>125</v>
      </c>
      <c r="B52" s="3"/>
      <c r="C52" s="3"/>
      <c r="D52" s="3"/>
      <c r="E52" s="3"/>
      <c r="F52" s="3"/>
      <c r="G52" s="3"/>
      <c r="H52" s="3"/>
      <c r="I52" s="3"/>
      <c r="J52" s="3">
        <v>1</v>
      </c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>
        <v>2</v>
      </c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</row>
    <row r="53" spans="1:91" x14ac:dyDescent="0.2">
      <c r="A53" s="3" t="s">
        <v>126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 t="s">
        <v>305</v>
      </c>
      <c r="BK53" s="3"/>
      <c r="BL53" s="3"/>
      <c r="BM53" s="3"/>
      <c r="BN53" s="3"/>
      <c r="BO53" s="3"/>
      <c r="BP53" s="3" t="s">
        <v>305</v>
      </c>
      <c r="BQ53" s="3"/>
      <c r="BR53" s="3"/>
      <c r="BS53" s="3"/>
      <c r="BT53" s="3"/>
      <c r="BU53" s="3"/>
      <c r="BV53" s="3" t="s">
        <v>86</v>
      </c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</row>
    <row r="54" spans="1:91" x14ac:dyDescent="0.2">
      <c r="A54" s="3" t="s">
        <v>127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>
        <v>1</v>
      </c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</row>
    <row r="55" spans="1:91" x14ac:dyDescent="0.2">
      <c r="A55" s="3" t="s">
        <v>128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 t="s">
        <v>305</v>
      </c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</row>
    <row r="56" spans="1:91" x14ac:dyDescent="0.2">
      <c r="A56" s="3" t="s">
        <v>129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>
        <v>1</v>
      </c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>
        <v>1</v>
      </c>
      <c r="CL56" s="3"/>
      <c r="CM56" s="3"/>
    </row>
    <row r="57" spans="1:91" x14ac:dyDescent="0.2">
      <c r="A57" s="3" t="s">
        <v>130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 t="s">
        <v>305</v>
      </c>
      <c r="BQ57" s="3"/>
      <c r="BR57" s="3" t="s">
        <v>305</v>
      </c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>
        <f>1+1</f>
        <v>2</v>
      </c>
      <c r="CL57" s="3"/>
      <c r="CM57" s="3"/>
    </row>
    <row r="58" spans="1:91" x14ac:dyDescent="0.2">
      <c r="A58" s="3" t="s">
        <v>131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>
        <v>2</v>
      </c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</row>
    <row r="59" spans="1:91" x14ac:dyDescent="0.2">
      <c r="A59" s="3" t="s">
        <v>132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>
        <v>1</v>
      </c>
      <c r="BK59" s="3"/>
      <c r="BL59" s="3"/>
      <c r="BM59" s="3"/>
      <c r="BN59" s="3"/>
      <c r="BO59" s="3"/>
      <c r="BP59" s="3">
        <v>1</v>
      </c>
      <c r="BQ59" s="3"/>
      <c r="BR59" s="3"/>
      <c r="BS59" s="3"/>
      <c r="BT59" s="3"/>
      <c r="BU59" s="3"/>
      <c r="BV59" s="3">
        <v>1</v>
      </c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</row>
    <row r="60" spans="1:91" x14ac:dyDescent="0.2">
      <c r="A60" s="3" t="s">
        <v>133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1</v>
      </c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>
        <v>1</v>
      </c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>
        <v>5</v>
      </c>
      <c r="BN60" s="3"/>
      <c r="BO60" s="3"/>
      <c r="BP60" s="3"/>
      <c r="BQ60" s="3"/>
      <c r="BR60" s="3">
        <v>1</v>
      </c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</row>
    <row r="61" spans="1:91" x14ac:dyDescent="0.2">
      <c r="A61" s="3" t="s">
        <v>134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>
        <v>1</v>
      </c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</row>
    <row r="62" spans="1:91" x14ac:dyDescent="0.2">
      <c r="A62" s="3" t="s">
        <v>135</v>
      </c>
      <c r="B62" s="3"/>
      <c r="C62" s="3"/>
      <c r="D62" s="3"/>
      <c r="E62" s="3"/>
      <c r="F62" s="3"/>
      <c r="G62" s="3"/>
      <c r="H62" s="3"/>
      <c r="I62" s="3"/>
      <c r="J62" s="3">
        <v>5</v>
      </c>
      <c r="K62" s="3"/>
      <c r="L62" s="3"/>
      <c r="M62" s="3"/>
      <c r="N62" s="3"/>
      <c r="O62" s="3">
        <v>1</v>
      </c>
      <c r="P62" s="3"/>
      <c r="Q62" s="3">
        <v>1</v>
      </c>
      <c r="R62" s="3"/>
      <c r="S62" s="3"/>
      <c r="T62" s="3"/>
      <c r="U62" s="3">
        <v>1</v>
      </c>
      <c r="V62" s="3">
        <v>1</v>
      </c>
      <c r="W62" s="3"/>
      <c r="X62" s="3"/>
      <c r="Y62" s="3">
        <v>5</v>
      </c>
      <c r="Z62" s="3"/>
      <c r="AA62" s="3"/>
      <c r="AB62" s="3"/>
      <c r="AC62" s="3"/>
      <c r="AD62" s="3"/>
      <c r="AE62" s="3"/>
      <c r="AF62" s="3"/>
      <c r="AG62" s="3"/>
      <c r="AH62" s="3" t="s">
        <v>305</v>
      </c>
      <c r="AI62" s="3"/>
      <c r="AJ62" s="3"/>
      <c r="AK62" s="3">
        <v>2</v>
      </c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>
        <v>2</v>
      </c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</row>
    <row r="63" spans="1:91" x14ac:dyDescent="0.2">
      <c r="A63" s="3" t="s">
        <v>136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 t="s">
        <v>305</v>
      </c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 t="s">
        <v>305</v>
      </c>
      <c r="BS63" s="3"/>
      <c r="BT63" s="3"/>
      <c r="BU63" s="3"/>
      <c r="BV63" s="3" t="s">
        <v>305</v>
      </c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</row>
    <row r="64" spans="1:91" x14ac:dyDescent="0.2">
      <c r="A64" s="3" t="s">
        <v>137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 t="s">
        <v>305</v>
      </c>
      <c r="O64" s="3"/>
      <c r="P64" s="3"/>
      <c r="Q64" s="3"/>
      <c r="R64" s="3"/>
      <c r="S64" s="3"/>
      <c r="T64" s="3"/>
      <c r="U64" s="3">
        <v>1</v>
      </c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 t="s">
        <v>305</v>
      </c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</row>
    <row r="65" spans="1:91" x14ac:dyDescent="0.2">
      <c r="A65" s="3" t="s">
        <v>138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>
        <v>2</v>
      </c>
      <c r="CL65" s="3"/>
      <c r="CM65" s="3"/>
    </row>
    <row r="66" spans="1:91" x14ac:dyDescent="0.2">
      <c r="A66" s="3" t="s">
        <v>139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>
        <v>14</v>
      </c>
      <c r="BK66" s="3"/>
      <c r="BL66" s="3"/>
      <c r="BM66" s="3">
        <v>12</v>
      </c>
      <c r="BN66" s="3"/>
      <c r="BO66" s="3"/>
      <c r="BP66" s="3">
        <v>10</v>
      </c>
      <c r="BQ66" s="3"/>
      <c r="BR66" s="3">
        <v>13</v>
      </c>
      <c r="BS66" s="3"/>
      <c r="BT66" s="3"/>
      <c r="BU66" s="3"/>
      <c r="BV66" s="3">
        <v>32</v>
      </c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>
        <v>2</v>
      </c>
      <c r="CL66" s="3"/>
      <c r="CM66" s="3"/>
    </row>
    <row r="67" spans="1:91" x14ac:dyDescent="0.2">
      <c r="A67" s="3" t="s">
        <v>140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>
        <v>1</v>
      </c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>
        <v>2</v>
      </c>
      <c r="CL67" s="3"/>
      <c r="CM67" s="3"/>
    </row>
    <row r="68" spans="1:91" x14ac:dyDescent="0.2">
      <c r="A68" s="3" t="s">
        <v>141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>
        <v>2</v>
      </c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>
        <v>1</v>
      </c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</row>
    <row r="69" spans="1:91" x14ac:dyDescent="0.2">
      <c r="A69" s="3" t="s">
        <v>142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>
        <v>5</v>
      </c>
      <c r="BK69" s="3"/>
      <c r="BL69" s="3"/>
      <c r="BM69" s="3">
        <v>3</v>
      </c>
      <c r="BN69" s="3"/>
      <c r="BO69" s="3"/>
      <c r="BP69" s="3">
        <v>1</v>
      </c>
      <c r="BQ69" s="3"/>
      <c r="BR69" s="3">
        <v>1</v>
      </c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</row>
    <row r="70" spans="1:91" x14ac:dyDescent="0.2">
      <c r="A70" s="3" t="s">
        <v>143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>
        <v>1</v>
      </c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</row>
    <row r="71" spans="1:91" x14ac:dyDescent="0.2">
      <c r="A71" s="3" t="s">
        <v>144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>
        <v>2</v>
      </c>
      <c r="BK71" s="3"/>
      <c r="BL71" s="3"/>
      <c r="BM71" s="3">
        <v>4</v>
      </c>
      <c r="BN71" s="3"/>
      <c r="BO71" s="3"/>
      <c r="BP71" s="3">
        <v>1</v>
      </c>
      <c r="BQ71" s="3"/>
      <c r="BR71" s="3">
        <v>1</v>
      </c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>
        <v>6</v>
      </c>
      <c r="CL71" s="3"/>
      <c r="CM71" s="3"/>
    </row>
    <row r="72" spans="1:91" x14ac:dyDescent="0.2">
      <c r="A72" s="3" t="s">
        <v>145</v>
      </c>
      <c r="B72" s="3"/>
      <c r="C72" s="3"/>
      <c r="D72" s="3"/>
      <c r="E72" s="3"/>
      <c r="F72" s="3"/>
      <c r="G72" s="3"/>
      <c r="H72" s="3">
        <v>1</v>
      </c>
      <c r="I72" s="3"/>
      <c r="J72" s="3">
        <v>3</v>
      </c>
      <c r="K72" s="3"/>
      <c r="L72" s="3"/>
      <c r="M72" s="3"/>
      <c r="N72" s="3">
        <v>2</v>
      </c>
      <c r="O72" s="3"/>
      <c r="P72" s="3"/>
      <c r="Q72" s="3"/>
      <c r="R72" s="3"/>
      <c r="S72" s="3">
        <v>2</v>
      </c>
      <c r="T72" s="3"/>
      <c r="U72" s="3">
        <v>4</v>
      </c>
      <c r="V72" s="3">
        <v>1</v>
      </c>
      <c r="W72" s="3"/>
      <c r="X72" s="3"/>
      <c r="Y72" s="3">
        <v>5</v>
      </c>
      <c r="Z72" s="3"/>
      <c r="AA72" s="3"/>
      <c r="AB72" s="3"/>
      <c r="AC72" s="3"/>
      <c r="AD72" s="3">
        <v>7</v>
      </c>
      <c r="AE72" s="3"/>
      <c r="AF72" s="3">
        <v>2</v>
      </c>
      <c r="AG72" s="3">
        <v>3</v>
      </c>
      <c r="AH72" s="3"/>
      <c r="AI72" s="3">
        <v>2</v>
      </c>
      <c r="AJ72" s="3"/>
      <c r="AK72" s="3">
        <v>1</v>
      </c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</row>
    <row r="73" spans="1:91" x14ac:dyDescent="0.2">
      <c r="A73" s="3" t="s">
        <v>146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 t="s">
        <v>305</v>
      </c>
      <c r="BK73" s="3"/>
      <c r="BL73" s="3"/>
      <c r="BM73" s="3"/>
      <c r="BN73" s="3"/>
      <c r="BO73" s="3"/>
      <c r="BP73" s="3" t="s">
        <v>305</v>
      </c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 t="s">
        <v>305</v>
      </c>
      <c r="CL73" s="3"/>
      <c r="CM73" s="3"/>
    </row>
    <row r="74" spans="1:91" x14ac:dyDescent="0.2">
      <c r="A74" s="3" t="s">
        <v>147</v>
      </c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>
        <v>2</v>
      </c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</row>
    <row r="75" spans="1:91" x14ac:dyDescent="0.2">
      <c r="A75" s="3" t="s">
        <v>148</v>
      </c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>
        <v>2</v>
      </c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</row>
    <row r="76" spans="1:91" x14ac:dyDescent="0.2">
      <c r="A76" s="3" t="s">
        <v>149</v>
      </c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>
        <v>1</v>
      </c>
      <c r="BK76" s="3"/>
      <c r="BL76" s="3"/>
      <c r="BM76" s="3"/>
      <c r="BN76" s="3"/>
      <c r="BO76" s="3"/>
      <c r="BP76" s="3"/>
      <c r="BQ76" s="3"/>
      <c r="BR76" s="3">
        <v>1</v>
      </c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</row>
    <row r="77" spans="1:91" x14ac:dyDescent="0.2">
      <c r="A77" s="3" t="s">
        <v>150</v>
      </c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>
        <v>2</v>
      </c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</row>
    <row r="78" spans="1:91" x14ac:dyDescent="0.2">
      <c r="A78" s="3" t="s">
        <v>151</v>
      </c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>
        <v>3</v>
      </c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</row>
    <row r="79" spans="1:91" x14ac:dyDescent="0.2">
      <c r="A79" s="3" t="s">
        <v>152</v>
      </c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>
        <v>1</v>
      </c>
      <c r="BQ79" s="3"/>
      <c r="BR79" s="3"/>
      <c r="BS79" s="3"/>
      <c r="BT79" s="3"/>
      <c r="BU79" s="3"/>
      <c r="BV79" s="3">
        <v>1</v>
      </c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</row>
    <row r="80" spans="1:91" x14ac:dyDescent="0.2">
      <c r="A80" s="3" t="s">
        <v>153</v>
      </c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>
        <v>1</v>
      </c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</row>
    <row r="81" spans="1:91" x14ac:dyDescent="0.2">
      <c r="A81" s="3" t="s">
        <v>154</v>
      </c>
      <c r="B81" s="3"/>
      <c r="C81" s="3"/>
      <c r="D81" s="3"/>
      <c r="E81" s="3">
        <v>1</v>
      </c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</row>
    <row r="82" spans="1:91" x14ac:dyDescent="0.2">
      <c r="A82" s="3" t="s">
        <v>155</v>
      </c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>
        <v>1</v>
      </c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</row>
    <row r="83" spans="1:91" x14ac:dyDescent="0.2">
      <c r="A83" s="3" t="s">
        <v>156</v>
      </c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>
        <v>1</v>
      </c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</row>
    <row r="84" spans="1:91" x14ac:dyDescent="0.2">
      <c r="A84" s="3" t="s">
        <v>157</v>
      </c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 t="s">
        <v>305</v>
      </c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 t="s">
        <v>305</v>
      </c>
      <c r="CL84" s="3"/>
      <c r="CM84" s="3"/>
    </row>
    <row r="85" spans="1:91" x14ac:dyDescent="0.2">
      <c r="A85" s="3" t="s">
        <v>158</v>
      </c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 t="s">
        <v>305</v>
      </c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 t="s">
        <v>305</v>
      </c>
      <c r="BN85" s="3"/>
      <c r="BO85" s="3"/>
      <c r="BP85" s="3"/>
      <c r="BQ85" s="3"/>
      <c r="BR85" s="3" t="s">
        <v>305</v>
      </c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</row>
    <row r="86" spans="1:91" x14ac:dyDescent="0.2">
      <c r="A86" s="3" t="s">
        <v>159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>
        <v>2</v>
      </c>
      <c r="BS86" s="3"/>
      <c r="BT86" s="3"/>
      <c r="BU86" s="3"/>
      <c r="BV86" s="3">
        <v>1</v>
      </c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</row>
    <row r="87" spans="1:91" x14ac:dyDescent="0.2">
      <c r="A87" s="3" t="s">
        <v>160</v>
      </c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>
        <v>1</v>
      </c>
      <c r="O87" s="3"/>
      <c r="P87" s="3"/>
      <c r="Q87" s="3"/>
      <c r="R87" s="3"/>
      <c r="S87" s="3">
        <v>1</v>
      </c>
      <c r="T87" s="3"/>
      <c r="U87" s="3">
        <v>1</v>
      </c>
      <c r="V87" s="3" t="s">
        <v>305</v>
      </c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>
        <v>1</v>
      </c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>
        <v>4</v>
      </c>
      <c r="BN87" s="3"/>
      <c r="BO87" s="3"/>
      <c r="BP87" s="3"/>
      <c r="BQ87" s="3"/>
      <c r="BR87" s="3">
        <v>1</v>
      </c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>
        <v>10</v>
      </c>
      <c r="CL87" s="3"/>
      <c r="CM87" s="3"/>
    </row>
    <row r="88" spans="1:91" x14ac:dyDescent="0.2">
      <c r="A88" s="3" t="s">
        <v>161</v>
      </c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>
        <v>1</v>
      </c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</row>
    <row r="89" spans="1:91" x14ac:dyDescent="0.2">
      <c r="A89" s="3" t="s">
        <v>162</v>
      </c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>
        <v>1</v>
      </c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>
        <v>1</v>
      </c>
      <c r="CL89" s="3"/>
      <c r="CM89" s="3"/>
    </row>
    <row r="90" spans="1:91" x14ac:dyDescent="0.2">
      <c r="A90" s="3" t="s">
        <v>163</v>
      </c>
      <c r="B90" s="3"/>
      <c r="C90" s="3">
        <v>1</v>
      </c>
      <c r="D90" s="3"/>
      <c r="E90" s="3"/>
      <c r="F90" s="3"/>
      <c r="G90" s="3"/>
      <c r="H90" s="3"/>
      <c r="I90" s="3"/>
      <c r="J90" s="3">
        <v>1</v>
      </c>
      <c r="K90" s="3"/>
      <c r="L90" s="3"/>
      <c r="M90" s="3"/>
      <c r="N90" s="3">
        <v>1</v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>
        <v>1</v>
      </c>
      <c r="BN90" s="3"/>
      <c r="BO90" s="3"/>
      <c r="BP90" s="3"/>
      <c r="BQ90" s="3"/>
      <c r="BR90" s="3"/>
      <c r="BS90" s="3"/>
      <c r="BT90" s="3"/>
      <c r="BU90" s="3"/>
      <c r="BV90" s="3">
        <v>1</v>
      </c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>
        <v>1</v>
      </c>
      <c r="CL90" s="3"/>
      <c r="CM90" s="3"/>
    </row>
    <row r="91" spans="1:91" x14ac:dyDescent="0.2">
      <c r="A91" s="3" t="s">
        <v>164</v>
      </c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>
        <v>1</v>
      </c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>
        <v>1</v>
      </c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>
        <v>1</v>
      </c>
      <c r="BK91" s="3"/>
      <c r="BL91" s="3"/>
      <c r="BM91" s="3">
        <v>2</v>
      </c>
      <c r="BN91" s="3"/>
      <c r="BO91" s="3"/>
      <c r="BP91" s="3"/>
      <c r="BQ91" s="3"/>
      <c r="BR91" s="3">
        <v>1</v>
      </c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>
        <v>1</v>
      </c>
      <c r="CL91" s="3"/>
      <c r="CM91" s="3"/>
    </row>
    <row r="92" spans="1:91" x14ac:dyDescent="0.2">
      <c r="A92" s="3" t="s">
        <v>165</v>
      </c>
      <c r="B92" s="3"/>
      <c r="C92" s="3"/>
      <c r="D92" s="3"/>
      <c r="E92" s="3">
        <v>2</v>
      </c>
      <c r="F92" s="3"/>
      <c r="G92" s="3"/>
      <c r="H92" s="3">
        <v>1</v>
      </c>
      <c r="I92" s="3"/>
      <c r="J92" s="3"/>
      <c r="K92" s="3"/>
      <c r="L92" s="3"/>
      <c r="M92" s="3"/>
      <c r="N92" s="3"/>
      <c r="O92" s="3">
        <v>1</v>
      </c>
      <c r="P92" s="3"/>
      <c r="Q92" s="3">
        <v>1</v>
      </c>
      <c r="R92" s="3"/>
      <c r="S92" s="3"/>
      <c r="T92" s="3"/>
      <c r="U92" s="3"/>
      <c r="V92" s="3"/>
      <c r="W92" s="3"/>
      <c r="X92" s="3">
        <v>1</v>
      </c>
      <c r="Y92" s="3"/>
      <c r="Z92" s="3"/>
      <c r="AA92" s="3"/>
      <c r="AB92" s="3"/>
      <c r="AC92" s="3"/>
      <c r="AD92" s="3">
        <v>4</v>
      </c>
      <c r="AE92" s="3"/>
      <c r="AF92" s="3"/>
      <c r="AG92" s="3">
        <v>2</v>
      </c>
      <c r="AH92" s="3"/>
      <c r="AI92" s="3">
        <v>1</v>
      </c>
      <c r="AJ92" s="3"/>
      <c r="AK92" s="3">
        <v>2</v>
      </c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</row>
    <row r="93" spans="1:91" x14ac:dyDescent="0.2">
      <c r="A93" s="3" t="s">
        <v>166</v>
      </c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>
        <v>2</v>
      </c>
      <c r="T93" s="3"/>
      <c r="U93" s="3"/>
      <c r="V93" s="3"/>
      <c r="W93" s="3"/>
      <c r="X93" s="3"/>
      <c r="Y93" s="3">
        <v>1</v>
      </c>
      <c r="Z93" s="3"/>
      <c r="AA93" s="3"/>
      <c r="AB93" s="3"/>
      <c r="AC93" s="3"/>
      <c r="AD93" s="3">
        <v>1</v>
      </c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>
        <v>1</v>
      </c>
      <c r="BQ93" s="3"/>
      <c r="BR93" s="3"/>
      <c r="BS93" s="3"/>
      <c r="BT93" s="3"/>
      <c r="BU93" s="3"/>
      <c r="BV93" s="3">
        <v>1</v>
      </c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</row>
    <row r="94" spans="1:91" x14ac:dyDescent="0.2">
      <c r="A94" s="3" t="s">
        <v>167</v>
      </c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 t="s">
        <v>305</v>
      </c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</row>
    <row r="95" spans="1:91" x14ac:dyDescent="0.2">
      <c r="A95" s="3" t="s">
        <v>168</v>
      </c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 t="s">
        <v>305</v>
      </c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</row>
    <row r="96" spans="1:91" x14ac:dyDescent="0.2">
      <c r="A96" s="3" t="s">
        <v>169</v>
      </c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>
        <v>6</v>
      </c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</row>
    <row r="97" spans="1:91" x14ac:dyDescent="0.2">
      <c r="A97" s="3" t="s">
        <v>170</v>
      </c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>
        <v>1</v>
      </c>
      <c r="BK97" s="3"/>
      <c r="BL97" s="3"/>
      <c r="BM97" s="3">
        <v>1</v>
      </c>
      <c r="BN97" s="3"/>
      <c r="BO97" s="3"/>
      <c r="BP97" s="3">
        <v>1</v>
      </c>
      <c r="BQ97" s="3"/>
      <c r="BR97" s="3">
        <v>2</v>
      </c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</row>
    <row r="98" spans="1:91" x14ac:dyDescent="0.2">
      <c r="A98" s="3" t="s">
        <v>171</v>
      </c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>
        <v>1</v>
      </c>
      <c r="CL98" s="3"/>
      <c r="CM98" s="3"/>
    </row>
    <row r="99" spans="1:91" x14ac:dyDescent="0.2">
      <c r="A99" s="3" t="s">
        <v>172</v>
      </c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>
        <v>1</v>
      </c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</row>
    <row r="100" spans="1:91" x14ac:dyDescent="0.2">
      <c r="A100" s="3" t="s">
        <v>173</v>
      </c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>
        <v>4</v>
      </c>
      <c r="BK100" s="3"/>
      <c r="BL100" s="3"/>
      <c r="BM100" s="3"/>
      <c r="BN100" s="3"/>
      <c r="BO100" s="3"/>
      <c r="BP100" s="3">
        <v>1</v>
      </c>
      <c r="BQ100" s="3"/>
      <c r="BR100" s="3">
        <v>1</v>
      </c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</row>
    <row r="101" spans="1:91" x14ac:dyDescent="0.2">
      <c r="A101" s="3" t="s">
        <v>174</v>
      </c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>
        <v>1</v>
      </c>
      <c r="CL101" s="3"/>
      <c r="CM101" s="3"/>
    </row>
    <row r="102" spans="1:91" x14ac:dyDescent="0.2">
      <c r="A102" s="3" t="s">
        <v>175</v>
      </c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>
        <f>2+1</f>
        <v>3</v>
      </c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</row>
    <row r="103" spans="1:91" x14ac:dyDescent="0.2">
      <c r="A103" s="3" t="s">
        <v>176</v>
      </c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>
        <v>2</v>
      </c>
      <c r="T103" s="3"/>
      <c r="U103" s="3">
        <v>6</v>
      </c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>
        <v>1</v>
      </c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</row>
    <row r="104" spans="1:91" x14ac:dyDescent="0.2">
      <c r="A104" s="3" t="s">
        <v>177</v>
      </c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>
        <v>1</v>
      </c>
      <c r="T104" s="3"/>
      <c r="U104" s="3">
        <v>1</v>
      </c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</row>
    <row r="105" spans="1:91" x14ac:dyDescent="0.2">
      <c r="A105" s="3" t="s">
        <v>178</v>
      </c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>
        <v>1</v>
      </c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</row>
    <row r="106" spans="1:91" x14ac:dyDescent="0.2">
      <c r="A106" s="3" t="s">
        <v>179</v>
      </c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>
        <v>1</v>
      </c>
      <c r="CL106" s="3"/>
      <c r="CM106" s="3"/>
    </row>
    <row r="107" spans="1:91" x14ac:dyDescent="0.2">
      <c r="A107" s="3" t="s">
        <v>180</v>
      </c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>
        <v>1</v>
      </c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>
        <v>4</v>
      </c>
      <c r="CL107" s="3"/>
      <c r="CM107" s="3"/>
    </row>
    <row r="108" spans="1:91" x14ac:dyDescent="0.2">
      <c r="A108" s="3" t="s">
        <v>181</v>
      </c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>
        <v>2</v>
      </c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</row>
    <row r="109" spans="1:91" x14ac:dyDescent="0.2">
      <c r="A109" s="3" t="s">
        <v>182</v>
      </c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>
        <v>2</v>
      </c>
      <c r="CL109" s="3"/>
      <c r="CM109" s="3"/>
    </row>
    <row r="110" spans="1:91" x14ac:dyDescent="0.2">
      <c r="A110" s="3" t="s">
        <v>183</v>
      </c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>
        <v>1</v>
      </c>
      <c r="BS110" s="3"/>
      <c r="BT110" s="3"/>
      <c r="BU110" s="3"/>
      <c r="BV110" s="3">
        <v>1</v>
      </c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</row>
    <row r="111" spans="1:91" x14ac:dyDescent="0.2">
      <c r="A111" s="3" t="s">
        <v>184</v>
      </c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>
        <v>7</v>
      </c>
      <c r="BQ111" s="3"/>
      <c r="BR111" s="3">
        <v>2</v>
      </c>
      <c r="BS111" s="3"/>
      <c r="BT111" s="3"/>
      <c r="BU111" s="3"/>
      <c r="BV111" s="3">
        <v>6</v>
      </c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</row>
    <row r="112" spans="1:91" x14ac:dyDescent="0.2">
      <c r="A112" s="3" t="s">
        <v>185</v>
      </c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>
        <v>3</v>
      </c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</row>
    <row r="113" spans="1:91" x14ac:dyDescent="0.2">
      <c r="A113" s="3" t="s">
        <v>186</v>
      </c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>
        <v>1</v>
      </c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</row>
    <row r="114" spans="1:91" x14ac:dyDescent="0.2">
      <c r="A114" s="3" t="s">
        <v>187</v>
      </c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>
        <v>1</v>
      </c>
      <c r="BK114" s="3"/>
      <c r="BL114" s="3"/>
      <c r="BM114" s="3"/>
      <c r="BN114" s="3"/>
      <c r="BO114" s="3"/>
      <c r="BP114" s="3">
        <v>1</v>
      </c>
      <c r="BQ114" s="3"/>
      <c r="BR114" s="3"/>
      <c r="BS114" s="3"/>
      <c r="BT114" s="3"/>
      <c r="BU114" s="3"/>
      <c r="BV114" s="3">
        <v>1</v>
      </c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 t="s">
        <v>305</v>
      </c>
      <c r="CL114" s="3"/>
      <c r="CM114" s="3"/>
    </row>
    <row r="115" spans="1:91" x14ac:dyDescent="0.2">
      <c r="A115" s="3" t="s">
        <v>188</v>
      </c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>
        <v>1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>
        <v>15</v>
      </c>
      <c r="BK115" s="3"/>
      <c r="BL115" s="3"/>
      <c r="BM115" s="3">
        <v>5</v>
      </c>
      <c r="BN115" s="3"/>
      <c r="BO115" s="3"/>
      <c r="BP115" s="3">
        <v>22</v>
      </c>
      <c r="BQ115" s="3"/>
      <c r="BR115" s="3">
        <v>13</v>
      </c>
      <c r="BS115" s="3"/>
      <c r="BT115" s="3"/>
      <c r="BU115" s="3"/>
      <c r="BV115" s="3">
        <v>9</v>
      </c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>
        <v>13</v>
      </c>
      <c r="CL115" s="3"/>
      <c r="CM115" s="3"/>
    </row>
    <row r="116" spans="1:91" x14ac:dyDescent="0.2">
      <c r="A116" s="3" t="s">
        <v>189</v>
      </c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>
        <v>1</v>
      </c>
      <c r="BK116" s="3"/>
      <c r="BL116" s="3"/>
      <c r="BM116" s="3"/>
      <c r="BN116" s="3"/>
      <c r="BO116" s="3"/>
      <c r="BP116" s="3"/>
      <c r="BQ116" s="3"/>
      <c r="BR116" s="3">
        <v>2</v>
      </c>
      <c r="BS116" s="3"/>
      <c r="BT116" s="3"/>
      <c r="BU116" s="3"/>
      <c r="BV116" s="3">
        <v>2</v>
      </c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</row>
    <row r="117" spans="1:91" x14ac:dyDescent="0.2">
      <c r="A117" s="3" t="s">
        <v>190</v>
      </c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>
        <v>1</v>
      </c>
      <c r="BQ117" s="3"/>
      <c r="BR117" s="3"/>
      <c r="BS117" s="3"/>
      <c r="BT117" s="3"/>
      <c r="BU117" s="3"/>
      <c r="BV117" s="3">
        <v>7</v>
      </c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</row>
    <row r="118" spans="1:91" x14ac:dyDescent="0.2">
      <c r="A118" s="3" t="s">
        <v>191</v>
      </c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>
        <v>1</v>
      </c>
      <c r="CL118" s="3"/>
      <c r="CM118" s="3"/>
    </row>
    <row r="119" spans="1:91" x14ac:dyDescent="0.2">
      <c r="A119" s="3" t="s">
        <v>192</v>
      </c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>
        <v>1</v>
      </c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</row>
    <row r="120" spans="1:91" x14ac:dyDescent="0.2">
      <c r="A120" s="3" t="s">
        <v>193</v>
      </c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 t="s">
        <v>305</v>
      </c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>
        <v>2</v>
      </c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 t="s">
        <v>305</v>
      </c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</row>
    <row r="121" spans="1:91" x14ac:dyDescent="0.2">
      <c r="A121" s="3" t="s">
        <v>194</v>
      </c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>
        <v>1</v>
      </c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</row>
    <row r="122" spans="1:91" x14ac:dyDescent="0.2">
      <c r="A122" s="3" t="s">
        <v>195</v>
      </c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>
        <v>1</v>
      </c>
      <c r="BK122" s="3"/>
      <c r="BL122" s="3"/>
      <c r="BM122" s="3"/>
      <c r="BN122" s="3"/>
      <c r="BO122" s="3"/>
      <c r="BP122" s="3">
        <v>1</v>
      </c>
      <c r="BQ122" s="3"/>
      <c r="BR122" s="3">
        <v>2</v>
      </c>
      <c r="BS122" s="3"/>
      <c r="BT122" s="3"/>
      <c r="BU122" s="3"/>
      <c r="BV122" s="3">
        <v>2</v>
      </c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>
        <v>1</v>
      </c>
      <c r="CL122" s="3"/>
      <c r="CM122" s="3"/>
    </row>
    <row r="123" spans="1:91" x14ac:dyDescent="0.2">
      <c r="A123" s="3" t="s">
        <v>196</v>
      </c>
      <c r="B123" s="3">
        <v>1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>
        <v>1</v>
      </c>
      <c r="BN123" s="3"/>
      <c r="BO123" s="3"/>
      <c r="BP123" s="3">
        <v>8</v>
      </c>
      <c r="BQ123" s="3"/>
      <c r="BR123" s="3">
        <v>1</v>
      </c>
      <c r="BS123" s="3"/>
      <c r="BT123" s="3"/>
      <c r="BU123" s="3"/>
      <c r="BV123" s="3">
        <v>4</v>
      </c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</row>
    <row r="124" spans="1:91" x14ac:dyDescent="0.2">
      <c r="A124" s="3" t="s">
        <v>197</v>
      </c>
      <c r="B124" s="3"/>
      <c r="C124" s="3"/>
      <c r="D124" s="3"/>
      <c r="E124" s="3"/>
      <c r="F124" s="3"/>
      <c r="G124" s="3"/>
      <c r="H124" s="3"/>
      <c r="I124" s="3"/>
      <c r="J124" s="3">
        <v>1</v>
      </c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>
        <v>3</v>
      </c>
      <c r="BQ124" s="3"/>
      <c r="BR124" s="3">
        <v>2</v>
      </c>
      <c r="BS124" s="3"/>
      <c r="BT124" s="3"/>
      <c r="BU124" s="3"/>
      <c r="BV124" s="3">
        <f>9+10</f>
        <v>19</v>
      </c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</row>
    <row r="125" spans="1:91" x14ac:dyDescent="0.2">
      <c r="A125" s="3" t="s">
        <v>198</v>
      </c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>
        <v>1</v>
      </c>
      <c r="BK125" s="3"/>
      <c r="BL125" s="3"/>
      <c r="BM125" s="3"/>
      <c r="BN125" s="3"/>
      <c r="BO125" s="3"/>
      <c r="BP125" s="3"/>
      <c r="BQ125" s="3"/>
      <c r="BR125" s="3">
        <v>6</v>
      </c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>
        <v>2</v>
      </c>
      <c r="CL125" s="3"/>
      <c r="CM125" s="3"/>
    </row>
    <row r="126" spans="1:91" x14ac:dyDescent="0.2">
      <c r="A126" s="3" t="s">
        <v>199</v>
      </c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>
        <v>1</v>
      </c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</row>
    <row r="127" spans="1:91" x14ac:dyDescent="0.2">
      <c r="A127" s="3" t="s">
        <v>200</v>
      </c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>
        <v>1</v>
      </c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</row>
    <row r="128" spans="1:91" x14ac:dyDescent="0.2">
      <c r="A128" s="3" t="s">
        <v>201</v>
      </c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>
        <v>1</v>
      </c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</row>
    <row r="129" spans="1:91" x14ac:dyDescent="0.2">
      <c r="A129" s="3" t="s">
        <v>202</v>
      </c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>
        <v>1</v>
      </c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</row>
    <row r="130" spans="1:91" x14ac:dyDescent="0.2">
      <c r="A130" s="3" t="s">
        <v>203</v>
      </c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>
        <v>1</v>
      </c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</row>
    <row r="131" spans="1:91" x14ac:dyDescent="0.2">
      <c r="A131" s="3" t="s">
        <v>204</v>
      </c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>
        <v>1</v>
      </c>
      <c r="BQ131" s="3"/>
      <c r="BR131" s="3">
        <v>1</v>
      </c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>
        <v>1</v>
      </c>
      <c r="CL131" s="3"/>
      <c r="CM131" s="3"/>
    </row>
    <row r="132" spans="1:91" x14ac:dyDescent="0.2">
      <c r="A132" s="3" t="s">
        <v>205</v>
      </c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>
        <v>3</v>
      </c>
      <c r="BQ132" s="3"/>
      <c r="BR132" s="3">
        <v>1</v>
      </c>
      <c r="BS132" s="3"/>
      <c r="BT132" s="3"/>
      <c r="BU132" s="3"/>
      <c r="BV132" s="3">
        <v>5</v>
      </c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</row>
    <row r="133" spans="1:91" x14ac:dyDescent="0.2">
      <c r="A133" s="3" t="s">
        <v>206</v>
      </c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>
        <v>1</v>
      </c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>
        <v>1</v>
      </c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</row>
    <row r="134" spans="1:91" x14ac:dyDescent="0.2">
      <c r="A134" s="3" t="s">
        <v>207</v>
      </c>
      <c r="B134" s="3">
        <v>2</v>
      </c>
      <c r="C134" s="3"/>
      <c r="D134" s="3"/>
      <c r="E134" s="3">
        <v>1</v>
      </c>
      <c r="F134" s="3"/>
      <c r="G134" s="3"/>
      <c r="H134" s="3"/>
      <c r="I134" s="3"/>
      <c r="J134" s="3">
        <v>4</v>
      </c>
      <c r="K134" s="3"/>
      <c r="L134" s="3"/>
      <c r="M134" s="3"/>
      <c r="N134" s="3">
        <v>11</v>
      </c>
      <c r="O134" s="3">
        <v>2</v>
      </c>
      <c r="P134" s="3">
        <v>4</v>
      </c>
      <c r="Q134" s="3">
        <v>3</v>
      </c>
      <c r="R134" s="3">
        <v>4</v>
      </c>
      <c r="S134" s="3"/>
      <c r="T134" s="3"/>
      <c r="U134" s="3"/>
      <c r="V134" s="3">
        <v>1</v>
      </c>
      <c r="W134" s="3"/>
      <c r="X134" s="3">
        <v>1</v>
      </c>
      <c r="Y134" s="3">
        <v>1</v>
      </c>
      <c r="Z134" s="3"/>
      <c r="AA134" s="3"/>
      <c r="AB134" s="3"/>
      <c r="AC134" s="3"/>
      <c r="AD134" s="3"/>
      <c r="AE134" s="3"/>
      <c r="AF134" s="3">
        <v>1</v>
      </c>
      <c r="AG134" s="3"/>
      <c r="AH134" s="3"/>
      <c r="AI134" s="3"/>
      <c r="AJ134" s="3"/>
      <c r="AK134" s="3">
        <v>1</v>
      </c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</row>
    <row r="135" spans="1:91" x14ac:dyDescent="0.2">
      <c r="A135" s="3" t="s">
        <v>208</v>
      </c>
      <c r="B135" s="3"/>
      <c r="C135" s="3"/>
      <c r="D135" s="3"/>
      <c r="E135" s="3"/>
      <c r="F135" s="3"/>
      <c r="G135" s="3"/>
      <c r="H135" s="3"/>
      <c r="I135" s="3"/>
      <c r="J135" s="3">
        <v>1</v>
      </c>
      <c r="K135" s="3"/>
      <c r="L135" s="3"/>
      <c r="M135" s="3"/>
      <c r="N135" s="3"/>
      <c r="O135" s="3"/>
      <c r="P135" s="3"/>
      <c r="Q135" s="3"/>
      <c r="R135" s="3"/>
      <c r="S135" s="3">
        <v>3</v>
      </c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>
        <v>1</v>
      </c>
      <c r="BK135" s="3"/>
      <c r="BL135" s="3"/>
      <c r="BM135" s="3"/>
      <c r="BN135" s="3"/>
      <c r="BO135" s="3"/>
      <c r="BP135" s="3">
        <v>1</v>
      </c>
      <c r="BQ135" s="3"/>
      <c r="BR135" s="3">
        <v>1</v>
      </c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>
        <v>4</v>
      </c>
      <c r="CL135" s="3"/>
      <c r="CM135" s="3"/>
    </row>
    <row r="136" spans="1:91" x14ac:dyDescent="0.2">
      <c r="A136" s="3" t="s">
        <v>209</v>
      </c>
      <c r="B136" s="3"/>
      <c r="C136" s="3"/>
      <c r="D136" s="3"/>
      <c r="E136" s="3"/>
      <c r="F136" s="3"/>
      <c r="G136" s="3"/>
      <c r="H136" s="3"/>
      <c r="I136" s="3"/>
      <c r="J136" s="3">
        <v>1</v>
      </c>
      <c r="K136" s="3"/>
      <c r="L136" s="3"/>
      <c r="M136" s="3"/>
      <c r="N136" s="3">
        <v>3</v>
      </c>
      <c r="O136" s="3">
        <v>4</v>
      </c>
      <c r="P136" s="3"/>
      <c r="Q136" s="3"/>
      <c r="R136" s="3">
        <v>1</v>
      </c>
      <c r="S136" s="3">
        <v>4</v>
      </c>
      <c r="T136" s="3"/>
      <c r="U136" s="3">
        <v>2</v>
      </c>
      <c r="V136" s="3">
        <v>1</v>
      </c>
      <c r="W136" s="3"/>
      <c r="X136" s="3"/>
      <c r="Y136" s="3">
        <v>2</v>
      </c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>
        <v>2</v>
      </c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</row>
    <row r="137" spans="1:91" x14ac:dyDescent="0.2">
      <c r="A137" s="3" t="s">
        <v>210</v>
      </c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>
        <v>2</v>
      </c>
      <c r="BN137" s="3"/>
      <c r="BO137" s="3"/>
      <c r="BP137" s="3">
        <v>3</v>
      </c>
      <c r="BQ137" s="3"/>
      <c r="BR137" s="3"/>
      <c r="BS137" s="3"/>
      <c r="BT137" s="3"/>
      <c r="BU137" s="3"/>
      <c r="BV137" s="3">
        <v>4</v>
      </c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1" t="s">
        <v>305</v>
      </c>
      <c r="CL137" s="3"/>
      <c r="CM137" s="3"/>
    </row>
    <row r="138" spans="1:91" x14ac:dyDescent="0.2">
      <c r="A138" s="3" t="s">
        <v>211</v>
      </c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>
        <v>2</v>
      </c>
      <c r="BQ138" s="3"/>
      <c r="BR138" s="3">
        <v>1</v>
      </c>
      <c r="BS138" s="3"/>
      <c r="BT138" s="3"/>
      <c r="BU138" s="3"/>
      <c r="BV138" s="3">
        <v>3</v>
      </c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</row>
    <row r="139" spans="1:91" x14ac:dyDescent="0.2">
      <c r="A139" s="3" t="s">
        <v>212</v>
      </c>
      <c r="B139" s="3"/>
      <c r="C139" s="3"/>
      <c r="D139" s="3"/>
      <c r="E139" s="3"/>
      <c r="F139" s="3"/>
      <c r="G139" s="3"/>
      <c r="H139" s="3"/>
      <c r="I139" s="3"/>
      <c r="J139" s="3">
        <v>1</v>
      </c>
      <c r="K139" s="3"/>
      <c r="L139" s="3"/>
      <c r="M139" s="3"/>
      <c r="N139" s="3"/>
      <c r="O139" s="3">
        <v>3</v>
      </c>
      <c r="P139" s="3"/>
      <c r="Q139" s="3">
        <v>1</v>
      </c>
      <c r="R139" s="3">
        <v>3</v>
      </c>
      <c r="S139" s="3"/>
      <c r="T139" s="3"/>
      <c r="U139" s="3">
        <v>1</v>
      </c>
      <c r="V139" s="3"/>
      <c r="W139" s="3"/>
      <c r="X139" s="3">
        <v>2</v>
      </c>
      <c r="Y139" s="3">
        <v>5</v>
      </c>
      <c r="Z139" s="3"/>
      <c r="AA139" s="3"/>
      <c r="AB139" s="3"/>
      <c r="AC139" s="3"/>
      <c r="AD139" s="3">
        <v>2</v>
      </c>
      <c r="AE139" s="3"/>
      <c r="AF139" s="3"/>
      <c r="AG139" s="3"/>
      <c r="AH139" s="3"/>
      <c r="AI139" s="3"/>
      <c r="AJ139" s="3"/>
      <c r="AK139" s="3">
        <v>2</v>
      </c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>
        <v>1</v>
      </c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>
        <v>1</v>
      </c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</row>
    <row r="140" spans="1:91" x14ac:dyDescent="0.2">
      <c r="A140" s="3" t="s">
        <v>213</v>
      </c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>
        <v>1</v>
      </c>
      <c r="BQ140" s="3"/>
      <c r="BR140" s="3"/>
      <c r="BS140" s="3"/>
      <c r="BT140" s="3"/>
      <c r="BU140" s="3"/>
      <c r="BV140" s="3">
        <v>1</v>
      </c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</row>
    <row r="141" spans="1:91" x14ac:dyDescent="0.2">
      <c r="A141" s="3" t="s">
        <v>214</v>
      </c>
      <c r="B141" s="3"/>
      <c r="C141" s="3"/>
      <c r="D141" s="3"/>
      <c r="E141" s="3"/>
      <c r="F141" s="3"/>
      <c r="G141" s="3"/>
      <c r="H141" s="3"/>
      <c r="I141" s="3"/>
      <c r="J141" s="3">
        <v>1</v>
      </c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>
        <v>1</v>
      </c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>
        <v>2</v>
      </c>
      <c r="BK141" s="3"/>
      <c r="BL141" s="3"/>
      <c r="BM141" s="3">
        <v>2</v>
      </c>
      <c r="BN141" s="3"/>
      <c r="BO141" s="3"/>
      <c r="BP141" s="3">
        <v>1</v>
      </c>
      <c r="BQ141" s="3"/>
      <c r="BR141" s="3">
        <v>1</v>
      </c>
      <c r="BS141" s="3"/>
      <c r="BT141" s="3"/>
      <c r="BU141" s="3"/>
      <c r="BV141" s="3">
        <v>5</v>
      </c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</row>
    <row r="142" spans="1:91" x14ac:dyDescent="0.2">
      <c r="A142" s="3" t="s">
        <v>215</v>
      </c>
      <c r="B142" s="3"/>
      <c r="C142" s="3">
        <v>1</v>
      </c>
      <c r="D142" s="3"/>
      <c r="E142" s="3"/>
      <c r="F142" s="3"/>
      <c r="G142" s="3"/>
      <c r="H142" s="3"/>
      <c r="I142" s="3"/>
      <c r="J142" s="3">
        <v>2</v>
      </c>
      <c r="K142" s="3"/>
      <c r="L142" s="3"/>
      <c r="M142" s="3"/>
      <c r="N142" s="3"/>
      <c r="O142" s="3"/>
      <c r="P142" s="3"/>
      <c r="Q142" s="3"/>
      <c r="R142" s="3"/>
      <c r="S142" s="3">
        <v>5</v>
      </c>
      <c r="T142" s="3"/>
      <c r="U142" s="3"/>
      <c r="V142" s="3">
        <v>1</v>
      </c>
      <c r="W142" s="3"/>
      <c r="X142" s="3">
        <v>1</v>
      </c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</row>
    <row r="143" spans="1:91" x14ac:dyDescent="0.2">
      <c r="A143" s="3" t="s">
        <v>216</v>
      </c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>
        <v>1</v>
      </c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</row>
    <row r="144" spans="1:91" x14ac:dyDescent="0.2">
      <c r="A144" s="3" t="s">
        <v>217</v>
      </c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>
        <v>1</v>
      </c>
      <c r="V144" s="3">
        <v>1</v>
      </c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</row>
    <row r="145" spans="1:91" x14ac:dyDescent="0.2">
      <c r="A145" s="3" t="s">
        <v>218</v>
      </c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>
        <v>2</v>
      </c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</row>
    <row r="146" spans="1:91" x14ac:dyDescent="0.2">
      <c r="A146" s="3" t="s">
        <v>219</v>
      </c>
      <c r="B146" s="3"/>
      <c r="C146" s="3"/>
      <c r="D146" s="3"/>
      <c r="E146" s="3"/>
      <c r="F146" s="3"/>
      <c r="G146" s="3"/>
      <c r="H146" s="3"/>
      <c r="I146" s="3"/>
      <c r="J146" s="3">
        <v>2</v>
      </c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</row>
    <row r="147" spans="1:91" x14ac:dyDescent="0.2">
      <c r="A147" s="3" t="s">
        <v>220</v>
      </c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>
        <v>1</v>
      </c>
      <c r="BQ147" s="3"/>
      <c r="BR147" s="3">
        <v>2</v>
      </c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</row>
    <row r="148" spans="1:91" x14ac:dyDescent="0.2">
      <c r="A148" s="3" t="s">
        <v>221</v>
      </c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>
        <v>2</v>
      </c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</row>
    <row r="149" spans="1:91" x14ac:dyDescent="0.2">
      <c r="A149" s="3" t="s">
        <v>222</v>
      </c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>
        <v>1</v>
      </c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</row>
    <row r="150" spans="1:91" x14ac:dyDescent="0.2">
      <c r="A150" s="3" t="s">
        <v>223</v>
      </c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>
        <v>1</v>
      </c>
      <c r="BN150" s="3"/>
      <c r="BO150" s="3"/>
      <c r="BP150" s="3"/>
      <c r="BQ150" s="3"/>
      <c r="BR150" s="3">
        <v>1</v>
      </c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</row>
    <row r="151" spans="1:91" x14ac:dyDescent="0.2">
      <c r="A151" s="3" t="s">
        <v>224</v>
      </c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 t="s">
        <v>305</v>
      </c>
      <c r="T151" s="3"/>
      <c r="U151" s="3" t="s">
        <v>305</v>
      </c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 t="s">
        <v>305</v>
      </c>
      <c r="BN151" s="3"/>
      <c r="BO151" s="3"/>
      <c r="BP151" s="3"/>
      <c r="BQ151" s="3"/>
      <c r="BR151" s="3"/>
      <c r="BS151" s="3"/>
      <c r="BT151" s="3"/>
      <c r="BU151" s="3"/>
      <c r="BV151" s="3" t="s">
        <v>305</v>
      </c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>
        <v>1</v>
      </c>
      <c r="CL151" s="3"/>
      <c r="CM151" s="3"/>
    </row>
    <row r="152" spans="1:91" x14ac:dyDescent="0.2">
      <c r="A152" s="3" t="s">
        <v>225</v>
      </c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>
        <v>2</v>
      </c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</row>
    <row r="153" spans="1:91" x14ac:dyDescent="0.2">
      <c r="A153" s="3" t="s">
        <v>226</v>
      </c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>
        <v>1</v>
      </c>
      <c r="T153" s="3"/>
      <c r="U153" s="3"/>
      <c r="V153" s="3"/>
      <c r="W153" s="3"/>
      <c r="X153" s="3"/>
      <c r="Y153" s="3" t="s">
        <v>305</v>
      </c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>
        <v>1</v>
      </c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</row>
    <row r="154" spans="1:91" x14ac:dyDescent="0.2">
      <c r="A154" s="3" t="s">
        <v>227</v>
      </c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>
        <v>2</v>
      </c>
      <c r="BN154" s="3"/>
      <c r="BO154" s="3"/>
      <c r="BP154" s="3"/>
      <c r="BQ154" s="3"/>
      <c r="BR154" s="3" t="s">
        <v>305</v>
      </c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</row>
    <row r="155" spans="1:91" x14ac:dyDescent="0.2">
      <c r="A155" s="3" t="s">
        <v>228</v>
      </c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>
        <v>1</v>
      </c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>
        <v>8</v>
      </c>
      <c r="BK155" s="3"/>
      <c r="BL155" s="3"/>
      <c r="BM155" s="3">
        <v>2</v>
      </c>
      <c r="BN155" s="3"/>
      <c r="BO155" s="3"/>
      <c r="BP155" s="3">
        <v>1</v>
      </c>
      <c r="BQ155" s="3"/>
      <c r="BR155" s="3">
        <v>2</v>
      </c>
      <c r="BS155" s="3"/>
      <c r="BT155" s="3"/>
      <c r="BU155" s="3"/>
      <c r="BV155" s="3">
        <v>2</v>
      </c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>
        <v>15</v>
      </c>
      <c r="CL155" s="3"/>
      <c r="CM155" s="3"/>
    </row>
    <row r="156" spans="1:91" x14ac:dyDescent="0.2">
      <c r="A156" s="3" t="s">
        <v>229</v>
      </c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 t="s">
        <v>305</v>
      </c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 t="s">
        <v>305</v>
      </c>
      <c r="CL156" s="3"/>
      <c r="CM156" s="3"/>
    </row>
    <row r="157" spans="1:91" x14ac:dyDescent="0.2">
      <c r="A157" s="3" t="s">
        <v>230</v>
      </c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>
        <v>2</v>
      </c>
      <c r="BK157" s="3"/>
      <c r="BL157" s="3"/>
      <c r="BM157" s="3"/>
      <c r="BN157" s="3"/>
      <c r="BO157" s="3"/>
      <c r="BP157" s="3"/>
      <c r="BQ157" s="3"/>
      <c r="BR157" s="3">
        <v>1</v>
      </c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</row>
    <row r="158" spans="1:91" x14ac:dyDescent="0.2">
      <c r="A158" s="3" t="s">
        <v>231</v>
      </c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>
        <v>1</v>
      </c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</row>
    <row r="159" spans="1:91" x14ac:dyDescent="0.2">
      <c r="A159" s="3" t="s">
        <v>232</v>
      </c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>
        <v>1</v>
      </c>
      <c r="BK159" s="3"/>
      <c r="BL159" s="3"/>
      <c r="BM159" s="3"/>
      <c r="BN159" s="3"/>
      <c r="BO159" s="3"/>
      <c r="BP159" s="3">
        <v>6</v>
      </c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</row>
    <row r="160" spans="1:91" x14ac:dyDescent="0.2">
      <c r="A160" s="3" t="s">
        <v>233</v>
      </c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>
        <v>1</v>
      </c>
      <c r="BN160" s="3"/>
      <c r="BO160" s="3"/>
      <c r="BP160" s="3">
        <v>1</v>
      </c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</row>
    <row r="161" spans="1:91" x14ac:dyDescent="0.2">
      <c r="A161" s="3" t="s">
        <v>234</v>
      </c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>
        <v>1</v>
      </c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</row>
    <row r="162" spans="1:91" x14ac:dyDescent="0.2">
      <c r="A162" s="3" t="s">
        <v>235</v>
      </c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>
        <v>2</v>
      </c>
      <c r="BQ162" s="3"/>
      <c r="BR162" s="3">
        <v>3</v>
      </c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</row>
    <row r="163" spans="1:91" x14ac:dyDescent="0.2">
      <c r="A163" s="3" t="s">
        <v>236</v>
      </c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>
        <v>4</v>
      </c>
      <c r="BK163" s="3"/>
      <c r="BL163" s="3"/>
      <c r="BM163" s="3"/>
      <c r="BN163" s="3"/>
      <c r="BO163" s="3"/>
      <c r="BP163" s="3">
        <v>3</v>
      </c>
      <c r="BQ163" s="3"/>
      <c r="BR163" s="3">
        <v>2</v>
      </c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>
        <v>2</v>
      </c>
      <c r="CL163" s="3"/>
      <c r="CM163" s="3"/>
    </row>
    <row r="164" spans="1:91" x14ac:dyDescent="0.2">
      <c r="A164" s="3" t="s">
        <v>237</v>
      </c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 t="s">
        <v>305</v>
      </c>
      <c r="BS164" s="3"/>
      <c r="BT164" s="3"/>
      <c r="BU164" s="3"/>
      <c r="BV164" s="3">
        <v>2</v>
      </c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</row>
    <row r="165" spans="1:91" x14ac:dyDescent="0.2">
      <c r="A165" s="3" t="s">
        <v>238</v>
      </c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>
        <v>1</v>
      </c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>
        <v>1</v>
      </c>
      <c r="BK165" s="3"/>
      <c r="BL165" s="3"/>
      <c r="BM165" s="3">
        <v>4</v>
      </c>
      <c r="BN165" s="3"/>
      <c r="BO165" s="3"/>
      <c r="BP165" s="3"/>
      <c r="BQ165" s="3"/>
      <c r="BR165" s="3">
        <v>2</v>
      </c>
      <c r="BS165" s="3"/>
      <c r="BT165" s="3"/>
      <c r="BU165" s="3"/>
      <c r="BV165" s="3">
        <v>1</v>
      </c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>
        <v>9</v>
      </c>
      <c r="CL165" s="3"/>
      <c r="CM165" s="3"/>
    </row>
    <row r="166" spans="1:91" x14ac:dyDescent="0.2">
      <c r="A166" s="3" t="s">
        <v>239</v>
      </c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>
        <v>1</v>
      </c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>
        <v>1</v>
      </c>
      <c r="CL166" s="3"/>
      <c r="CM166" s="3"/>
    </row>
    <row r="167" spans="1:91" x14ac:dyDescent="0.2">
      <c r="A167" s="3" t="s">
        <v>240</v>
      </c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>
        <v>1</v>
      </c>
      <c r="BN167" s="3"/>
      <c r="BO167" s="3"/>
      <c r="BP167" s="3"/>
      <c r="BQ167" s="3"/>
      <c r="BR167" s="3">
        <v>1</v>
      </c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</row>
    <row r="168" spans="1:91" x14ac:dyDescent="0.2">
      <c r="A168" s="3" t="s">
        <v>241</v>
      </c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>
        <v>2</v>
      </c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</row>
    <row r="169" spans="1:91" x14ac:dyDescent="0.2">
      <c r="A169" s="3" t="s">
        <v>242</v>
      </c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>
        <v>1</v>
      </c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</row>
    <row r="170" spans="1:91" x14ac:dyDescent="0.2">
      <c r="A170" s="3" t="s">
        <v>243</v>
      </c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 t="s">
        <v>305</v>
      </c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</row>
    <row r="171" spans="1:91" x14ac:dyDescent="0.2">
      <c r="A171" s="3" t="s">
        <v>244</v>
      </c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>
        <v>1</v>
      </c>
      <c r="BS171" s="3"/>
      <c r="BT171" s="3"/>
      <c r="BU171" s="3"/>
      <c r="BV171" s="3">
        <v>2</v>
      </c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</row>
    <row r="172" spans="1:91" x14ac:dyDescent="0.2">
      <c r="A172" s="3" t="s">
        <v>245</v>
      </c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>
        <v>1</v>
      </c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</row>
    <row r="173" spans="1:91" x14ac:dyDescent="0.2">
      <c r="A173" s="3" t="s">
        <v>246</v>
      </c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>
        <v>1</v>
      </c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</row>
    <row r="174" spans="1:91" x14ac:dyDescent="0.2">
      <c r="A174" s="3" t="s">
        <v>247</v>
      </c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>
        <v>1</v>
      </c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</row>
    <row r="175" spans="1:91" x14ac:dyDescent="0.2">
      <c r="A175" s="3" t="s">
        <v>248</v>
      </c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>
        <v>1</v>
      </c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</row>
    <row r="176" spans="1:91" x14ac:dyDescent="0.2">
      <c r="A176" s="3" t="s">
        <v>249</v>
      </c>
      <c r="B176" s="3"/>
      <c r="C176" s="3"/>
      <c r="D176" s="3"/>
      <c r="E176" s="3"/>
      <c r="F176" s="3"/>
      <c r="G176" s="3"/>
      <c r="H176" s="3"/>
      <c r="I176" s="3"/>
      <c r="J176" s="3" t="s">
        <v>305</v>
      </c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 t="s">
        <v>305</v>
      </c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</row>
    <row r="177" spans="1:91" x14ac:dyDescent="0.2">
      <c r="A177" s="3" t="s">
        <v>250</v>
      </c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>
        <v>2</v>
      </c>
      <c r="P177" s="3"/>
      <c r="Q177" s="3">
        <v>1</v>
      </c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>
        <v>1</v>
      </c>
      <c r="AE177" s="3"/>
      <c r="AF177" s="3"/>
      <c r="AG177" s="3" t="s">
        <v>305</v>
      </c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>
        <v>1</v>
      </c>
      <c r="BK177" s="3"/>
      <c r="BL177" s="3"/>
      <c r="BM177" s="3">
        <v>1</v>
      </c>
      <c r="BN177" s="3"/>
      <c r="BO177" s="3"/>
      <c r="BP177" s="3">
        <v>2</v>
      </c>
      <c r="BQ177" s="3"/>
      <c r="BR177" s="3">
        <v>2</v>
      </c>
      <c r="BS177" s="3"/>
      <c r="BT177" s="3"/>
      <c r="BU177" s="3"/>
      <c r="BV177" s="3">
        <v>2</v>
      </c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</row>
    <row r="178" spans="1:91" x14ac:dyDescent="0.2">
      <c r="A178" s="3" t="s">
        <v>251</v>
      </c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>
        <v>1</v>
      </c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</row>
    <row r="179" spans="1:91" x14ac:dyDescent="0.2">
      <c r="A179" s="3" t="s">
        <v>252</v>
      </c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 t="s">
        <v>305</v>
      </c>
      <c r="CL179" s="3"/>
      <c r="CM179" s="3"/>
    </row>
    <row r="180" spans="1:91" x14ac:dyDescent="0.2">
      <c r="A180" s="3" t="s">
        <v>253</v>
      </c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>
        <v>1</v>
      </c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</row>
    <row r="181" spans="1:91" x14ac:dyDescent="0.2">
      <c r="A181" s="3" t="s">
        <v>254</v>
      </c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>
        <v>1</v>
      </c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</row>
    <row r="182" spans="1:91" x14ac:dyDescent="0.2">
      <c r="A182" s="3" t="s">
        <v>255</v>
      </c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>
        <v>1</v>
      </c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</row>
    <row r="183" spans="1:91" x14ac:dyDescent="0.2">
      <c r="A183" s="3" t="s">
        <v>256</v>
      </c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>
        <v>1</v>
      </c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>
        <v>1</v>
      </c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</row>
    <row r="184" spans="1:91" x14ac:dyDescent="0.2">
      <c r="A184" s="3" t="s">
        <v>257</v>
      </c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>
        <v>1</v>
      </c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>
        <v>1</v>
      </c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</row>
    <row r="185" spans="1:91" x14ac:dyDescent="0.2">
      <c r="A185" s="3" t="s">
        <v>258</v>
      </c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>
        <v>1</v>
      </c>
      <c r="AE185" s="3"/>
      <c r="AF185" s="3"/>
      <c r="AG185" s="3">
        <v>1</v>
      </c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>
        <v>1</v>
      </c>
      <c r="CL185" s="3"/>
      <c r="CM185" s="3"/>
    </row>
    <row r="186" spans="1:91" x14ac:dyDescent="0.2">
      <c r="A186" s="3" t="s">
        <v>259</v>
      </c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>
        <v>1</v>
      </c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</row>
    <row r="187" spans="1:91" x14ac:dyDescent="0.2">
      <c r="A187" s="3" t="s">
        <v>260</v>
      </c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 t="s">
        <v>305</v>
      </c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</row>
    <row r="188" spans="1:91" x14ac:dyDescent="0.2">
      <c r="A188" s="3" t="s">
        <v>261</v>
      </c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>
        <v>1</v>
      </c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</row>
    <row r="189" spans="1:91" x14ac:dyDescent="0.2">
      <c r="A189" s="3" t="s">
        <v>262</v>
      </c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>
        <v>3</v>
      </c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</row>
    <row r="190" spans="1:91" x14ac:dyDescent="0.2">
      <c r="A190" s="3" t="s">
        <v>263</v>
      </c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>
        <v>1</v>
      </c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</row>
    <row r="191" spans="1:91" x14ac:dyDescent="0.2">
      <c r="A191" s="3" t="s">
        <v>264</v>
      </c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>
        <v>1</v>
      </c>
      <c r="BQ191" s="3"/>
      <c r="BR191" s="3">
        <v>1</v>
      </c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</row>
    <row r="192" spans="1:91" x14ac:dyDescent="0.2">
      <c r="A192" s="3" t="s">
        <v>265</v>
      </c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 t="s">
        <v>305</v>
      </c>
      <c r="BK192" s="3"/>
      <c r="BL192" s="3"/>
      <c r="BM192" s="3"/>
      <c r="BN192" s="3"/>
      <c r="BO192" s="3"/>
      <c r="BP192" s="3" t="s">
        <v>305</v>
      </c>
      <c r="BQ192" s="3"/>
      <c r="BR192" s="3" t="s">
        <v>305</v>
      </c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</row>
    <row r="193" spans="1:91" x14ac:dyDescent="0.2">
      <c r="A193" s="3" t="s">
        <v>266</v>
      </c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>
        <v>1</v>
      </c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</row>
    <row r="194" spans="1:91" x14ac:dyDescent="0.2">
      <c r="A194" s="3" t="s">
        <v>267</v>
      </c>
      <c r="B194" s="3">
        <v>2</v>
      </c>
      <c r="C194" s="3">
        <v>1</v>
      </c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 t="s">
        <v>305</v>
      </c>
      <c r="S194" s="3"/>
      <c r="T194" s="3"/>
      <c r="U194" s="3"/>
      <c r="V194" s="3">
        <v>3</v>
      </c>
      <c r="W194" s="3"/>
      <c r="X194" s="3"/>
      <c r="Y194" s="3">
        <v>1</v>
      </c>
      <c r="Z194" s="3"/>
      <c r="AA194" s="3"/>
      <c r="AB194" s="3"/>
      <c r="AC194" s="3"/>
      <c r="AD194" s="3">
        <v>2</v>
      </c>
      <c r="AE194" s="3"/>
      <c r="AF194" s="3">
        <v>1</v>
      </c>
      <c r="AG194" s="3">
        <v>2</v>
      </c>
      <c r="AH194" s="3"/>
      <c r="AI194" s="3">
        <v>1</v>
      </c>
      <c r="AJ194" s="3"/>
      <c r="AK194" s="3">
        <v>1</v>
      </c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</row>
    <row r="195" spans="1:91" x14ac:dyDescent="0.2">
      <c r="A195" s="3" t="s">
        <v>268</v>
      </c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>
        <v>3</v>
      </c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>
        <v>1</v>
      </c>
      <c r="CL195" s="3"/>
      <c r="CM195" s="3"/>
    </row>
    <row r="196" spans="1:91" x14ac:dyDescent="0.2">
      <c r="A196" s="3" t="s">
        <v>269</v>
      </c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 t="s">
        <v>305</v>
      </c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 t="s">
        <v>305</v>
      </c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</row>
    <row r="197" spans="1:91" x14ac:dyDescent="0.2">
      <c r="A197" s="3" t="s">
        <v>270</v>
      </c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>
        <v>2</v>
      </c>
      <c r="CL197" s="3"/>
      <c r="CM197" s="3"/>
    </row>
    <row r="198" spans="1:91" x14ac:dyDescent="0.2">
      <c r="A198" s="3" t="s">
        <v>271</v>
      </c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>
        <v>1</v>
      </c>
      <c r="BN198" s="3"/>
      <c r="BO198" s="3"/>
      <c r="BP198" s="3">
        <v>1</v>
      </c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</row>
    <row r="199" spans="1:91" x14ac:dyDescent="0.2">
      <c r="A199" s="3" t="s">
        <v>272</v>
      </c>
      <c r="B199" s="3"/>
      <c r="C199" s="3"/>
      <c r="D199" s="3"/>
      <c r="E199" s="3"/>
      <c r="F199" s="3"/>
      <c r="G199" s="3"/>
      <c r="H199" s="3"/>
      <c r="I199" s="3"/>
      <c r="J199" s="3" t="s">
        <v>305</v>
      </c>
      <c r="K199" s="3"/>
      <c r="L199" s="3"/>
      <c r="M199" s="3"/>
      <c r="N199" s="3"/>
      <c r="O199" s="3"/>
      <c r="P199" s="3"/>
      <c r="Q199" s="3"/>
      <c r="R199" s="3"/>
      <c r="S199" s="3" t="s">
        <v>305</v>
      </c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 t="s">
        <v>305</v>
      </c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>
        <v>1</v>
      </c>
      <c r="CL199" s="3"/>
      <c r="CM199" s="3"/>
    </row>
    <row r="200" spans="1:91" x14ac:dyDescent="0.2">
      <c r="A200" s="3" t="s">
        <v>273</v>
      </c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>
        <v>1</v>
      </c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>
        <v>1</v>
      </c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</row>
    <row r="201" spans="1:91" x14ac:dyDescent="0.2">
      <c r="A201" s="3" t="s">
        <v>274</v>
      </c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>
        <v>3</v>
      </c>
      <c r="T201" s="3"/>
      <c r="U201" s="3">
        <v>1</v>
      </c>
      <c r="V201" s="3"/>
      <c r="W201" s="3"/>
      <c r="X201" s="3"/>
      <c r="Y201" s="3"/>
      <c r="Z201" s="3"/>
      <c r="AA201" s="3"/>
      <c r="AB201" s="3"/>
      <c r="AC201" s="3"/>
      <c r="AD201" s="3">
        <v>1</v>
      </c>
      <c r="AE201" s="3"/>
      <c r="AF201" s="3"/>
      <c r="AG201" s="3">
        <v>2</v>
      </c>
      <c r="AH201" s="3"/>
      <c r="AI201" s="3"/>
      <c r="AJ201" s="3"/>
      <c r="AK201" s="3">
        <v>8</v>
      </c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>
        <v>1</v>
      </c>
      <c r="CL201" s="3"/>
      <c r="CM201" s="3"/>
    </row>
    <row r="202" spans="1:91" x14ac:dyDescent="0.2">
      <c r="A202" s="3" t="s">
        <v>275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 t="s">
        <v>305</v>
      </c>
      <c r="BQ202" s="3"/>
      <c r="BR202" s="3">
        <v>2</v>
      </c>
      <c r="BS202" s="3"/>
      <c r="BT202" s="3"/>
      <c r="BU202" s="3"/>
      <c r="BV202" s="3">
        <v>1</v>
      </c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>
        <v>1</v>
      </c>
      <c r="CL202" s="3"/>
      <c r="CM202" s="3"/>
    </row>
    <row r="203" spans="1:91" x14ac:dyDescent="0.2">
      <c r="A203" s="3" t="s">
        <v>276</v>
      </c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>
        <v>2</v>
      </c>
      <c r="BQ203" s="3"/>
      <c r="BR203" s="3">
        <v>8</v>
      </c>
      <c r="BS203" s="3"/>
      <c r="BT203" s="3"/>
      <c r="BU203" s="3"/>
      <c r="BV203" s="3">
        <f>19+1+6</f>
        <v>26</v>
      </c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>
        <v>2</v>
      </c>
      <c r="CL203" s="3"/>
      <c r="CM203" s="3"/>
    </row>
    <row r="204" spans="1:91" x14ac:dyDescent="0.2">
      <c r="A204" s="3" t="s">
        <v>277</v>
      </c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>
        <v>1</v>
      </c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</row>
    <row r="205" spans="1:91" x14ac:dyDescent="0.2">
      <c r="A205" s="3" t="s">
        <v>278</v>
      </c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>
        <v>3</v>
      </c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</row>
    <row r="206" spans="1:91" x14ac:dyDescent="0.2">
      <c r="A206" s="3" t="s">
        <v>279</v>
      </c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>
        <v>1</v>
      </c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</row>
    <row r="207" spans="1:91" x14ac:dyDescent="0.2">
      <c r="A207" s="3" t="s">
        <v>280</v>
      </c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>
        <v>1</v>
      </c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>
        <v>1</v>
      </c>
      <c r="CL207" s="3"/>
      <c r="CM207" s="3"/>
    </row>
    <row r="208" spans="1:91" x14ac:dyDescent="0.2">
      <c r="A208" s="3" t="s">
        <v>281</v>
      </c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>
        <v>1</v>
      </c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</row>
    <row r="209" spans="1:91" x14ac:dyDescent="0.2">
      <c r="A209" s="3" t="s">
        <v>282</v>
      </c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>
        <v>1</v>
      </c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</row>
    <row r="210" spans="1:91" x14ac:dyDescent="0.2">
      <c r="A210" s="3" t="s">
        <v>283</v>
      </c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>
        <v>1</v>
      </c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</row>
    <row r="211" spans="1:91" x14ac:dyDescent="0.2">
      <c r="A211" s="3" t="s">
        <v>284</v>
      </c>
      <c r="B211" s="3"/>
      <c r="C211" s="3">
        <v>1</v>
      </c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 t="s">
        <v>305</v>
      </c>
      <c r="R211" s="3"/>
      <c r="S211" s="3"/>
      <c r="T211" s="3"/>
      <c r="U211" s="3" t="s">
        <v>305</v>
      </c>
      <c r="V211" s="3"/>
      <c r="W211" s="3"/>
      <c r="X211" s="3"/>
      <c r="Y211" s="3" t="s">
        <v>305</v>
      </c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 t="s">
        <v>305</v>
      </c>
      <c r="BK211" s="3"/>
      <c r="BL211" s="3"/>
      <c r="BM211" s="3"/>
      <c r="BN211" s="3"/>
      <c r="BO211" s="3"/>
      <c r="BP211" s="3">
        <v>1</v>
      </c>
      <c r="BQ211" s="3"/>
      <c r="BR211" s="3">
        <v>1</v>
      </c>
      <c r="BS211" s="3"/>
      <c r="BT211" s="3"/>
      <c r="BU211" s="3"/>
      <c r="BV211" s="3" t="s">
        <v>305</v>
      </c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 t="s">
        <v>305</v>
      </c>
      <c r="CL211" s="3"/>
      <c r="CM211" s="3"/>
    </row>
    <row r="212" spans="1:91" x14ac:dyDescent="0.2">
      <c r="A212" s="3" t="s">
        <v>285</v>
      </c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>
        <v>3</v>
      </c>
      <c r="BK212" s="3"/>
      <c r="BL212" s="3"/>
      <c r="BM212" s="3"/>
      <c r="BN212" s="3"/>
      <c r="BO212" s="3"/>
      <c r="BP212" s="3">
        <v>1</v>
      </c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>
        <v>3</v>
      </c>
      <c r="CL212" s="3"/>
      <c r="CM212" s="3"/>
    </row>
    <row r="213" spans="1:91" x14ac:dyDescent="0.2">
      <c r="A213" s="3" t="s">
        <v>286</v>
      </c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>
        <v>1</v>
      </c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</row>
    <row r="214" spans="1:91" x14ac:dyDescent="0.2">
      <c r="A214" s="3" t="s">
        <v>287</v>
      </c>
      <c r="B214" s="3"/>
      <c r="C214" s="3"/>
      <c r="D214" s="3"/>
      <c r="E214" s="3"/>
      <c r="F214" s="3"/>
      <c r="G214" s="3"/>
      <c r="H214" s="3"/>
      <c r="I214" s="3"/>
      <c r="J214" s="3">
        <v>1</v>
      </c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</row>
    <row r="215" spans="1:91" x14ac:dyDescent="0.2">
      <c r="A215" s="3" t="s">
        <v>288</v>
      </c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>
        <v>1</v>
      </c>
      <c r="BK215" s="3"/>
      <c r="BL215" s="3"/>
      <c r="BM215" s="3">
        <v>5</v>
      </c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</row>
    <row r="216" spans="1:91" x14ac:dyDescent="0.2">
      <c r="A216" s="3" t="s">
        <v>289</v>
      </c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>
        <v>1</v>
      </c>
      <c r="O216" s="3"/>
      <c r="P216" s="3"/>
      <c r="Q216" s="3"/>
      <c r="R216" s="3"/>
      <c r="S216" s="3">
        <v>4</v>
      </c>
      <c r="T216" s="3"/>
      <c r="U216" s="3">
        <v>2</v>
      </c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>
        <v>1</v>
      </c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</row>
    <row r="217" spans="1:91" x14ac:dyDescent="0.2">
      <c r="A217" s="3" t="s">
        <v>290</v>
      </c>
      <c r="B217" s="3"/>
      <c r="C217" s="3"/>
      <c r="D217" s="3"/>
      <c r="E217" s="3"/>
      <c r="F217" s="3"/>
      <c r="G217" s="3"/>
      <c r="H217" s="3"/>
      <c r="I217" s="3"/>
      <c r="J217" s="3">
        <v>2</v>
      </c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>
        <v>1</v>
      </c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</row>
    <row r="218" spans="1:91" x14ac:dyDescent="0.2">
      <c r="A218" s="3" t="s">
        <v>291</v>
      </c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>
        <v>8</v>
      </c>
      <c r="BQ218" s="3"/>
      <c r="BR218" s="3">
        <v>1</v>
      </c>
      <c r="BS218" s="3"/>
      <c r="BT218" s="3"/>
      <c r="BU218" s="3"/>
      <c r="BV218" s="3">
        <v>2</v>
      </c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>
        <v>3</v>
      </c>
      <c r="CL218" s="3"/>
      <c r="CM218" s="3"/>
    </row>
    <row r="219" spans="1:91" x14ac:dyDescent="0.2">
      <c r="A219" s="3" t="s">
        <v>292</v>
      </c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>
        <v>1</v>
      </c>
      <c r="BQ219" s="3"/>
      <c r="BR219" s="3"/>
      <c r="BS219" s="3"/>
      <c r="BT219" s="3"/>
      <c r="BU219" s="3"/>
      <c r="BV219" s="3">
        <v>3</v>
      </c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>
        <v>1</v>
      </c>
      <c r="CL219" s="3"/>
      <c r="CM219" s="3"/>
    </row>
    <row r="220" spans="1:91" x14ac:dyDescent="0.2">
      <c r="A220" s="3" t="s">
        <v>293</v>
      </c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 t="s">
        <v>305</v>
      </c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</row>
    <row r="221" spans="1:91" x14ac:dyDescent="0.2">
      <c r="A221" s="3" t="s">
        <v>294</v>
      </c>
      <c r="B221" s="3"/>
      <c r="C221" s="3"/>
      <c r="D221" s="3"/>
      <c r="E221" s="3"/>
      <c r="F221" s="3"/>
      <c r="G221" s="3"/>
      <c r="H221" s="3"/>
      <c r="I221" s="3"/>
      <c r="J221" s="3">
        <v>1</v>
      </c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</row>
    <row r="222" spans="1:91" x14ac:dyDescent="0.2">
      <c r="A222" s="3" t="s">
        <v>295</v>
      </c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>
        <v>1</v>
      </c>
      <c r="BK222" s="3"/>
      <c r="BL222" s="3"/>
      <c r="BM222" s="3">
        <v>23</v>
      </c>
      <c r="BN222" s="3"/>
      <c r="BO222" s="3"/>
      <c r="BP222" s="3"/>
      <c r="BQ222" s="3"/>
      <c r="BR222" s="3">
        <v>3</v>
      </c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>
        <v>3</v>
      </c>
      <c r="CL222" s="3"/>
      <c r="CM222" s="3"/>
    </row>
    <row r="223" spans="1:91" x14ac:dyDescent="0.2">
      <c r="A223" s="3" t="s">
        <v>296</v>
      </c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>
        <v>1</v>
      </c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</row>
    <row r="224" spans="1:91" x14ac:dyDescent="0.2">
      <c r="A224" s="3" t="s">
        <v>297</v>
      </c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>
        <v>2</v>
      </c>
      <c r="BS224" s="3"/>
      <c r="BT224" s="3"/>
      <c r="BU224" s="3"/>
      <c r="BV224" s="3">
        <v>2</v>
      </c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>
        <v>1</v>
      </c>
      <c r="CL224" s="3"/>
      <c r="CM224" s="3"/>
    </row>
    <row r="225" spans="1:91" x14ac:dyDescent="0.2">
      <c r="A225" s="3" t="s">
        <v>298</v>
      </c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>
        <v>8</v>
      </c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</row>
    <row r="226" spans="1:91" x14ac:dyDescent="0.2">
      <c r="A226" s="3" t="s">
        <v>299</v>
      </c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>
        <v>26</v>
      </c>
      <c r="BK226" s="3"/>
      <c r="BL226" s="3"/>
      <c r="BM226" s="3"/>
      <c r="BN226" s="3"/>
      <c r="BO226" s="3"/>
      <c r="BP226" s="3">
        <v>5</v>
      </c>
      <c r="BQ226" s="3"/>
      <c r="BR226" s="3"/>
      <c r="BS226" s="3"/>
      <c r="BT226" s="3"/>
      <c r="BU226" s="3"/>
      <c r="BV226" s="3">
        <f>1+14</f>
        <v>15</v>
      </c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metadata xmlns="http://www.objective.com/ecm/document/metadata/71FFD1B571BE2883E0537D20C80A46C7" version="1.0.0">
  <systemFields>
    <field name="Objective-Id">
      <value order="0">A3955018</value>
    </field>
    <field name="Objective-Title">
      <value order="0">SNH_Draft_SouthArran2022_Fauna_V06_20230330</value>
    </field>
    <field name="Objective-Description">
      <value order="0"/>
    </field>
    <field name="Objective-CreationStamp">
      <value order="0">2023-04-03T16:21:10Z</value>
    </field>
    <field name="Objective-IsApproved">
      <value order="0">false</value>
    </field>
    <field name="Objective-IsPublished">
      <value order="0">true</value>
    </field>
    <field name="Objective-DatePublished">
      <value order="0">2023-04-03T16:21:13Z</value>
    </field>
    <field name="Objective-ModificationStamp">
      <value order="0">2023-04-03T16:21:18Z</value>
    </field>
    <field name="Objective-Owner">
      <value order="0">Peter Webster</value>
    </field>
    <field name="Objective-Path">
      <value order="0">Objective Global Folder:NatureScot Fileplan:NAT - Natural Environments:MAR - Marine:MPA - Marine Protected Areas:RES - Research:Scottish MPA Project - Marine Survey - 2023 - Programme</value>
    </field>
    <field name="Objective-Parent">
      <value order="0">Scottish MPA Project - Marine Survey - 2023 - Programme</value>
    </field>
    <field name="Objective-State">
      <value order="0">Published</value>
    </field>
    <field name="Objective-VersionId">
      <value order="0">vA6933846</value>
    </field>
    <field name="Objective-Version">
      <value order="0">1.0</value>
    </field>
    <field name="Objective-VersionNumber">
      <value order="0">1</value>
    </field>
    <field name="Objective-VersionComment">
      <value order="0"/>
    </field>
    <field name="Objective-FileNumber">
      <value order="0">qA178385</value>
    </field>
    <field name="Objective-Classification">
      <value order="0"/>
    </field>
    <field name="Objective-Caveats">
      <value order="0"/>
    </field>
  </systemFields>
  <catalogues>
    <catalogue name="Document Type Catalogue" type="type" ori="id:cA8">
      <field name="Objective-Date of Original">
        <value order="0"/>
      </field>
      <field name="Objective-Sensitivity Review Date">
        <value order="0"/>
      </field>
      <field name="Objective-FOI Exemption">
        <value order="0">Release</value>
      </field>
      <field name="Objective-DPA Exemption">
        <value order="0">Release</value>
      </field>
      <field name="Objective-EIR Exception">
        <value order="0">Release</value>
      </field>
      <field name="Objective-Justification">
        <value order="0"/>
      </field>
      <field name="Objective-Date of Request">
        <value order="0"/>
      </field>
      <field name="Objective-Date of Release">
        <value order="0"/>
      </field>
      <field name="Objective-FOI/EIR Disclosure Date">
        <value order="0"/>
      </field>
      <field name="Objective-FOI/EIR Dissemination Date">
        <value order="0"/>
      </field>
      <field name="Objective-FOI Release Details">
        <value order="0"/>
      </field>
      <field name="Objective-Connect Creator">
        <value order="0"/>
      </field>
    </catalogue>
  </catalogues>
</metadata>
</file>

<file path=customXml/itemProps1.xml><?xml version="1.0" encoding="utf-8"?>
<ds:datastoreItem xmlns:ds="http://schemas.openxmlformats.org/officeDocument/2006/customXml" ds:itemID="{5745109E-2DDF-40CB-AC2B-FF9B10C90820}">
  <ds:schemaRefs>
    <ds:schemaRef ds:uri="http://www.objective.com/ecm/document/metadata/71FFD1B571BE2883E0537D20C80A4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South Arran Fauna 20230330 (6)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Allen</dc:creator>
  <cp:lastModifiedBy>Sarah Stevenson</cp:lastModifiedBy>
  <dcterms:created xsi:type="dcterms:W3CDTF">2023-03-30T09:20:20Z</dcterms:created>
  <dcterms:modified xsi:type="dcterms:W3CDTF">2026-06-18T13:51:04Z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er-Id">
    <vt:lpwstr>71FFD1B571BE2883E0537D20C80A46C7</vt:lpwstr>
  </property>
  <property fmtid="{D5CDD505-2E9C-101B-9397-08002B2CF9AE}" pid="3" name="Objective-Id">
    <vt:lpwstr>A3955018</vt:lpwstr>
  </property>
  <property fmtid="{D5CDD505-2E9C-101B-9397-08002B2CF9AE}" pid="4" name="Objective-Title">
    <vt:lpwstr>SNH_Draft_SouthArran2022_Fauna_V06_20230330</vt:lpwstr>
  </property>
  <property fmtid="{D5CDD505-2E9C-101B-9397-08002B2CF9AE}" pid="5" name="Objective-Description">
    <vt:lpwstr/>
  </property>
  <property fmtid="{D5CDD505-2E9C-101B-9397-08002B2CF9AE}" pid="6" name="Objective-CreationStamp">
    <vt:filetime>2023-04-03T16:21:10Z</vt:filetime>
  </property>
  <property fmtid="{D5CDD505-2E9C-101B-9397-08002B2CF9AE}" pid="7" name="Objective-IsApproved">
    <vt:bool>false</vt:bool>
  </property>
  <property fmtid="{D5CDD505-2E9C-101B-9397-08002B2CF9AE}" pid="8" name="Objective-IsPublished">
    <vt:bool>true</vt:bool>
  </property>
  <property fmtid="{D5CDD505-2E9C-101B-9397-08002B2CF9AE}" pid="9" name="Objective-DatePublished">
    <vt:filetime>2023-04-03T16:21:13Z</vt:filetime>
  </property>
  <property fmtid="{D5CDD505-2E9C-101B-9397-08002B2CF9AE}" pid="10" name="Objective-ModificationStamp">
    <vt:filetime>2023-04-03T16:21:18Z</vt:filetime>
  </property>
  <property fmtid="{D5CDD505-2E9C-101B-9397-08002B2CF9AE}" pid="11" name="Objective-Owner">
    <vt:lpwstr>Peter Webster</vt:lpwstr>
  </property>
  <property fmtid="{D5CDD505-2E9C-101B-9397-08002B2CF9AE}" pid="12" name="Objective-Path">
    <vt:lpwstr>Objective Global Folder:NatureScot Fileplan:NAT - Natural Environments:MAR - Marine:MPA - Marine Protected Areas:RES - Research:Scottish MPA Project - Marine Survey - 2023 - Programme</vt:lpwstr>
  </property>
  <property fmtid="{D5CDD505-2E9C-101B-9397-08002B2CF9AE}" pid="13" name="Objective-Parent">
    <vt:lpwstr>Scottish MPA Project - Marine Survey - 2023 - Programme</vt:lpwstr>
  </property>
  <property fmtid="{D5CDD505-2E9C-101B-9397-08002B2CF9AE}" pid="14" name="Objective-State">
    <vt:lpwstr>Published</vt:lpwstr>
  </property>
  <property fmtid="{D5CDD505-2E9C-101B-9397-08002B2CF9AE}" pid="15" name="Objective-VersionId">
    <vt:lpwstr>vA6933846</vt:lpwstr>
  </property>
  <property fmtid="{D5CDD505-2E9C-101B-9397-08002B2CF9AE}" pid="16" name="Objective-Version">
    <vt:lpwstr>1.0</vt:lpwstr>
  </property>
  <property fmtid="{D5CDD505-2E9C-101B-9397-08002B2CF9AE}" pid="17" name="Objective-VersionNumber">
    <vt:r8>1</vt:r8>
  </property>
  <property fmtid="{D5CDD505-2E9C-101B-9397-08002B2CF9AE}" pid="18" name="Objective-VersionComment">
    <vt:lpwstr/>
  </property>
  <property fmtid="{D5CDD505-2E9C-101B-9397-08002B2CF9AE}" pid="19" name="Objective-FileNumber">
    <vt:lpwstr>qA178385</vt:lpwstr>
  </property>
  <property fmtid="{D5CDD505-2E9C-101B-9397-08002B2CF9AE}" pid="20" name="Objective-Classification">
    <vt:lpwstr/>
  </property>
  <property fmtid="{D5CDD505-2E9C-101B-9397-08002B2CF9AE}" pid="21" name="Objective-Caveats">
    <vt:lpwstr/>
  </property>
  <property fmtid="{D5CDD505-2E9C-101B-9397-08002B2CF9AE}" pid="22" name="Objective-Date of Original">
    <vt:lpwstr/>
  </property>
  <property fmtid="{D5CDD505-2E9C-101B-9397-08002B2CF9AE}" pid="23" name="Objective-Sensitivity Review Date">
    <vt:lpwstr/>
  </property>
  <property fmtid="{D5CDD505-2E9C-101B-9397-08002B2CF9AE}" pid="24" name="Objective-FOI Exemption">
    <vt:lpwstr>Release</vt:lpwstr>
  </property>
  <property fmtid="{D5CDD505-2E9C-101B-9397-08002B2CF9AE}" pid="25" name="Objective-DPA Exemption">
    <vt:lpwstr>Release</vt:lpwstr>
  </property>
  <property fmtid="{D5CDD505-2E9C-101B-9397-08002B2CF9AE}" pid="26" name="Objective-EIR Exception">
    <vt:lpwstr>Release</vt:lpwstr>
  </property>
  <property fmtid="{D5CDD505-2E9C-101B-9397-08002B2CF9AE}" pid="27" name="Objective-Justification">
    <vt:lpwstr/>
  </property>
  <property fmtid="{D5CDD505-2E9C-101B-9397-08002B2CF9AE}" pid="28" name="Objective-Date of Request">
    <vt:lpwstr/>
  </property>
  <property fmtid="{D5CDD505-2E9C-101B-9397-08002B2CF9AE}" pid="29" name="Objective-Date of Release">
    <vt:lpwstr/>
  </property>
  <property fmtid="{D5CDD505-2E9C-101B-9397-08002B2CF9AE}" pid="30" name="Objective-FOI/EIR Disclosure Date">
    <vt:lpwstr/>
  </property>
  <property fmtid="{D5CDD505-2E9C-101B-9397-08002B2CF9AE}" pid="31" name="Objective-FOI/EIR Dissemination Date">
    <vt:lpwstr/>
  </property>
  <property fmtid="{D5CDD505-2E9C-101B-9397-08002B2CF9AE}" pid="32" name="Objective-FOI Release Details">
    <vt:lpwstr/>
  </property>
  <property fmtid="{D5CDD505-2E9C-101B-9397-08002B2CF9AE}" pid="33" name="Objective-Connect Creator">
    <vt:lpwstr/>
  </property>
</Properties>
</file>